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AN\Desktop\Faizaan\Coding Ninjas Tasks\"/>
    </mc:Choice>
  </mc:AlternateContent>
  <xr:revisionPtr revIDLastSave="0" documentId="13_ncr:1_{40246CD8-573F-4617-B5C5-C430331B5C27}" xr6:coauthVersionLast="47" xr6:coauthVersionMax="47" xr10:uidLastSave="{00000000-0000-0000-0000-000000000000}"/>
  <bookViews>
    <workbookView xWindow="-108" yWindow="-108" windowWidth="23256" windowHeight="12456" xr2:uid="{6A624183-F00A-4A8C-8C8C-6D8217C17C65}"/>
  </bookViews>
  <sheets>
    <sheet name="Dashboard" sheetId="6" r:id="rId1"/>
    <sheet name="Cleaned Data" sheetId="1" r:id="rId2"/>
    <sheet name="Problem-1" sheetId="2" r:id="rId3"/>
    <sheet name="Problem-2" sheetId="3" r:id="rId4"/>
    <sheet name="Problem-3" sheetId="4" r:id="rId5"/>
    <sheet name="Problem-4" sheetId="5" r:id="rId6"/>
    <sheet name="Problem-5" sheetId="7" r:id="rId7"/>
  </sheets>
  <definedNames>
    <definedName name="_xlnm._FilterDatabase" localSheetId="1" hidden="1">'Cleaned Data'!$A$1:$AL$373</definedName>
    <definedName name="_xlnm._FilterDatabase" localSheetId="5" hidden="1">'Problem-4'!$L$5:$P$31</definedName>
    <definedName name="_xlnm._FilterDatabase" localSheetId="6" hidden="1">'Problem-5'!$M$2:$N$2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4" i="7"/>
  <c r="H3" i="7"/>
  <c r="P30" i="5" l="1"/>
  <c r="P27" i="5"/>
  <c r="P9" i="5"/>
  <c r="P31" i="5"/>
  <c r="P24" i="5"/>
  <c r="P6" i="5"/>
  <c r="P25" i="5"/>
  <c r="P7" i="5"/>
  <c r="P16" i="5"/>
  <c r="P29" i="5"/>
  <c r="P17" i="5"/>
  <c r="P13" i="5"/>
  <c r="P26" i="5"/>
  <c r="P14" i="5"/>
  <c r="P18" i="5"/>
  <c r="P15" i="5"/>
  <c r="P10" i="5"/>
  <c r="P22" i="5"/>
  <c r="P12" i="5"/>
  <c r="P23" i="5"/>
  <c r="P28" i="5"/>
  <c r="P20" i="5"/>
  <c r="P11" i="5"/>
  <c r="P19" i="5"/>
  <c r="P21" i="5"/>
  <c r="P8" i="5"/>
  <c r="H16" i="5"/>
  <c r="H21" i="5"/>
  <c r="H26" i="5"/>
  <c r="H25" i="5"/>
  <c r="H28" i="5"/>
  <c r="H30" i="5"/>
  <c r="H31" i="5"/>
  <c r="H24" i="5"/>
  <c r="H29" i="5"/>
  <c r="H9" i="5"/>
  <c r="H14" i="5"/>
  <c r="H23" i="5"/>
  <c r="H20" i="5"/>
  <c r="H10" i="5"/>
  <c r="H6" i="5"/>
  <c r="H8" i="5"/>
  <c r="H19" i="5"/>
  <c r="H15" i="5"/>
  <c r="H7" i="5"/>
  <c r="H13" i="5"/>
  <c r="H17" i="5"/>
  <c r="H12" i="5"/>
  <c r="H11" i="5"/>
  <c r="H27" i="5"/>
  <c r="H18" i="5"/>
  <c r="H22" i="5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L2" i="1"/>
  <c r="AK2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2" i="1"/>
  <c r="N5" i="4"/>
  <c r="N6" i="4"/>
  <c r="N7" i="4"/>
  <c r="N8" i="4"/>
  <c r="N9" i="4"/>
  <c r="N10" i="4"/>
  <c r="N11" i="4"/>
  <c r="N12" i="4"/>
  <c r="N13" i="4"/>
  <c r="N14" i="4"/>
  <c r="N15" i="4"/>
  <c r="N16" i="4"/>
  <c r="N4" i="4"/>
  <c r="G16" i="4"/>
  <c r="G15" i="4"/>
  <c r="G14" i="4"/>
  <c r="G13" i="4"/>
  <c r="G12" i="4"/>
  <c r="G11" i="4"/>
  <c r="G10" i="4"/>
  <c r="G9" i="4"/>
  <c r="G8" i="4"/>
  <c r="G7" i="4"/>
  <c r="G6" i="4"/>
  <c r="G5" i="4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2" i="1"/>
  <c r="M6" i="3"/>
  <c r="N6" i="3"/>
  <c r="O6" i="3"/>
  <c r="P6" i="3"/>
  <c r="Q6" i="3"/>
  <c r="L6" i="3"/>
  <c r="E9" i="3"/>
  <c r="E8" i="3"/>
  <c r="E7" i="3"/>
  <c r="E6" i="3"/>
  <c r="E5" i="3"/>
  <c r="E4" i="3"/>
  <c r="D9" i="3"/>
  <c r="D8" i="3"/>
  <c r="D7" i="3"/>
  <c r="D6" i="3"/>
  <c r="D5" i="3"/>
  <c r="D4" i="3"/>
  <c r="G17" i="4" l="1"/>
  <c r="F7" i="3"/>
  <c r="F6" i="3"/>
  <c r="F5" i="3"/>
  <c r="F8" i="3"/>
  <c r="F4" i="3"/>
  <c r="F9" i="3"/>
  <c r="H7" i="2" l="1"/>
  <c r="H4" i="2"/>
  <c r="H2" i="2"/>
  <c r="H8" i="2" l="1"/>
  <c r="I5" i="2" l="1"/>
  <c r="I6" i="2"/>
  <c r="I3" i="2"/>
  <c r="I2" i="2"/>
  <c r="I7" i="2"/>
  <c r="I4" i="2"/>
</calcChain>
</file>

<file path=xl/sharedStrings.xml><?xml version="1.0" encoding="utf-8"?>
<sst xmlns="http://schemas.openxmlformats.org/spreadsheetml/2006/main" count="1209" uniqueCount="175">
  <si>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</si>
  <si>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</si>
  <si>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</si>
  <si>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</si>
  <si>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</si>
  <si>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</si>
  <si>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</si>
  <si>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</si>
  <si>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</si>
  <si>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</si>
  <si>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</si>
  <si>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</si>
  <si>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</si>
  <si>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</si>
  <si>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</si>
  <si>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</si>
  <si>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</si>
  <si>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</si>
  <si>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</si>
  <si>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</si>
  <si>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</si>
  <si>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</si>
  <si>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</si>
  <si>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</si>
  <si>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</si>
  <si>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</si>
  <si>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</si>
  <si>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</si>
  <si>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</si>
  <si>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</si>
  <si>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</si>
  <si>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</si>
  <si>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</si>
  <si>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</si>
  <si>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</si>
  <si>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</si>
  <si>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</si>
  <si>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</si>
  <si>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</si>
  <si>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</si>
  <si>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</si>
  <si>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</si>
  <si>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</si>
  <si>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</si>
  <si>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Prepared meals, scks, sweets etc.</t>
  </si>
  <si>
    <t>Persol care and effects</t>
  </si>
  <si>
    <t>Month_Num</t>
  </si>
  <si>
    <t>Category</t>
  </si>
  <si>
    <t>Status</t>
  </si>
  <si>
    <t>Food and Beverages</t>
  </si>
  <si>
    <t>Clothing and Footwear</t>
  </si>
  <si>
    <t>Fuel and Light</t>
  </si>
  <si>
    <t>Misc</t>
  </si>
  <si>
    <t>Value</t>
  </si>
  <si>
    <t>Contribution</t>
  </si>
  <si>
    <t>Total</t>
  </si>
  <si>
    <t>Row Labels</t>
  </si>
  <si>
    <t>Grand Total</t>
  </si>
  <si>
    <t>Years</t>
  </si>
  <si>
    <t>YOY</t>
  </si>
  <si>
    <t>Year - 2019</t>
  </si>
  <si>
    <t>Inflation Rate</t>
  </si>
  <si>
    <t>1. Y-O-Y inflation rate graph gives 2019 as highest year
2. Due to increase in Food and beverages by 10% Overall inflation increased in the year 2019</t>
  </si>
  <si>
    <t>Calculated YOY growth - Urban + Rural</t>
  </si>
  <si>
    <t>Year+Month</t>
  </si>
  <si>
    <t>2022-August</t>
  </si>
  <si>
    <t>2022-December</t>
  </si>
  <si>
    <t>2022-July</t>
  </si>
  <si>
    <t>2022-June</t>
  </si>
  <si>
    <t>2022-November</t>
  </si>
  <si>
    <t>2022-October</t>
  </si>
  <si>
    <t>2022-September</t>
  </si>
  <si>
    <t>2023-April</t>
  </si>
  <si>
    <t>2023-February</t>
  </si>
  <si>
    <t>2023-January</t>
  </si>
  <si>
    <t>2023-March</t>
  </si>
  <si>
    <t>2023-May</t>
  </si>
  <si>
    <t>(All)</t>
  </si>
  <si>
    <t>(Multiple Items)</t>
  </si>
  <si>
    <t>Sum of Food and Beverages2</t>
  </si>
  <si>
    <t>Inflation</t>
  </si>
  <si>
    <t>MOM Inflation of Food and Beverages</t>
  </si>
  <si>
    <t>Sum of Cereals and products</t>
  </si>
  <si>
    <t>Sum of Meat and fish</t>
  </si>
  <si>
    <t>Sum of Egg</t>
  </si>
  <si>
    <t>Sum of Milk and products</t>
  </si>
  <si>
    <t>Sum of Oils and fats</t>
  </si>
  <si>
    <t>Sum of Fruits</t>
  </si>
  <si>
    <t>Sum of Vegetables</t>
  </si>
  <si>
    <t>Sum of Pulses and products</t>
  </si>
  <si>
    <t>Sum of Sugar and Confectionery</t>
  </si>
  <si>
    <t>Sum of Spices</t>
  </si>
  <si>
    <t>Sum of Non-alcoholic beverages</t>
  </si>
  <si>
    <t>Sum of Prepared meals, scks, sweets etc.</t>
  </si>
  <si>
    <t>Sum of Food and beverages</t>
  </si>
  <si>
    <t xml:space="preserve"> Cereals and products</t>
  </si>
  <si>
    <t xml:space="preserve"> Meat and fish</t>
  </si>
  <si>
    <t xml:space="preserve"> Egg</t>
  </si>
  <si>
    <t xml:space="preserve"> Milk and products</t>
  </si>
  <si>
    <t xml:space="preserve"> Oils and fats</t>
  </si>
  <si>
    <t xml:space="preserve"> Fruits</t>
  </si>
  <si>
    <t xml:space="preserve"> Vegetables</t>
  </si>
  <si>
    <t xml:space="preserve"> Pulses and products</t>
  </si>
  <si>
    <t xml:space="preserve"> Sugar and Confectionery</t>
  </si>
  <si>
    <t xml:space="preserve"> Spices</t>
  </si>
  <si>
    <t xml:space="preserve"> Non-alcoholic beverages</t>
  </si>
  <si>
    <t xml:space="preserve"> Prepared meals, scks, sweets etc.</t>
  </si>
  <si>
    <t xml:space="preserve"> Food and beverages</t>
  </si>
  <si>
    <t>Individual Category wise Inflation</t>
  </si>
  <si>
    <t>1. Highest Food Inflation - 2023 April with 0.7% Inflation
2. Lowest Inflation - 2023 May with 0.1% Inflation</t>
  </si>
  <si>
    <t>1. Biggest Individual Category Contributor - Spices with 15% contribution</t>
  </si>
  <si>
    <t>Broader Categories</t>
  </si>
  <si>
    <t>YOY Inflation</t>
  </si>
  <si>
    <t>Inflation before Covid-19</t>
  </si>
  <si>
    <t>Inflation After Covid-19</t>
  </si>
  <si>
    <t>CPI Inflation Dashboard</t>
  </si>
  <si>
    <t>Crude Oil Import In (Rs.)</t>
  </si>
  <si>
    <t>Total Import of Oil</t>
  </si>
  <si>
    <t>Correlation 2021-23 Crude Oil Import</t>
  </si>
  <si>
    <t>Correlation 2021-23 Total Oil Import</t>
  </si>
  <si>
    <t>Prepared meals, snacks, sweets etc.</t>
  </si>
  <si>
    <t>Personal care and effects</t>
  </si>
  <si>
    <t>Categories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</si>
  <si>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</si>
  <si>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</si>
  <si>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</si>
  <si>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</si>
  <si>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</si>
  <si>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</si>
  <si>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</si>
  <si>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</si>
  <si>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</si>
  <si>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</si>
  <si>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</si>
  <si>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</si>
  <si>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</si>
  <si>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</si>
  <si>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</si>
  <si>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</si>
  <si>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</si>
  <si>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</si>
  <si>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</si>
  <si>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</si>
  <si>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</si>
  <si>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</si>
  <si>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</si>
  <si>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</si>
  <si>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Average of Cereals and products</t>
  </si>
  <si>
    <t>Average of Meat and fish</t>
  </si>
  <si>
    <t>Average of Egg</t>
  </si>
  <si>
    <t>Average of Milk and products</t>
  </si>
  <si>
    <t>Average of Fruits</t>
  </si>
  <si>
    <t>Average of Oils and fats</t>
  </si>
  <si>
    <t>Average of Vegetables</t>
  </si>
  <si>
    <t>Average of Pulses and products</t>
  </si>
  <si>
    <t>Average of Sugar and Confectionery</t>
  </si>
  <si>
    <t>Average of Spices</t>
  </si>
  <si>
    <t>Average of Non-alcoholic beverages</t>
  </si>
  <si>
    <t>Average of Prepared meals, snacks, sweets etc.</t>
  </si>
  <si>
    <t>Average of Food and beverages</t>
  </si>
  <si>
    <t>Average of Pan, tobacco and intoxicants</t>
  </si>
  <si>
    <t>Average of Clothing</t>
  </si>
  <si>
    <t>Average of Footwear</t>
  </si>
  <si>
    <t>Average of Clothing and footwear</t>
  </si>
  <si>
    <t>Average of Housing</t>
  </si>
  <si>
    <t>Average of Fuel and light</t>
  </si>
  <si>
    <t>Average of Household goods and services</t>
  </si>
  <si>
    <t>Average of Health</t>
  </si>
  <si>
    <t>Average of Transport and communication</t>
  </si>
  <si>
    <t>Average of Recreation and amusement</t>
  </si>
  <si>
    <t>Average of Education</t>
  </si>
  <si>
    <t>Average of Personal care and effects</t>
  </si>
  <si>
    <t>Average of Miscellaneous</t>
  </si>
  <si>
    <t>Average of General index</t>
  </si>
  <si>
    <t>Correlation Between Categories and Imported Crude Oil (Rural+Urban)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</si>
</sst>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8" fillId="34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9" fontId="0" fillId="0" borderId="10" xfId="42" applyFont="1" applyBorder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horizontal="left"/>
    </xf>
    <xf numFmtId="0" fontId="16" fillId="0" borderId="10" xfId="0" applyFont="1" applyBorder="1"/>
    <xf numFmtId="0" fontId="16" fillId="35" borderId="10" xfId="0" applyFont="1" applyFill="1" applyBorder="1" applyAlignment="1">
      <alignment horizontal="center"/>
    </xf>
    <xf numFmtId="9" fontId="20" fillId="35" borderId="10" xfId="42" applyFont="1" applyFill="1" applyBorder="1" applyAlignment="1">
      <alignment horizontal="center"/>
    </xf>
    <xf numFmtId="9" fontId="16" fillId="35" borderId="10" xfId="42" applyFont="1" applyFill="1" applyBorder="1" applyAlignment="1">
      <alignment horizontal="center"/>
    </xf>
    <xf numFmtId="165" fontId="0" fillId="0" borderId="10" xfId="42" applyNumberFormat="1" applyFont="1" applyBorder="1" applyAlignment="1">
      <alignment horizontal="center"/>
    </xf>
    <xf numFmtId="165" fontId="16" fillId="33" borderId="10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/>
    </xf>
    <xf numFmtId="14" fontId="16" fillId="33" borderId="10" xfId="0" applyNumberFormat="1" applyFont="1" applyFill="1" applyBorder="1"/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vertical="center"/>
    </xf>
    <xf numFmtId="9" fontId="0" fillId="0" borderId="0" xfId="42" applyFont="1" applyFill="1" applyBorder="1" applyAlignment="1">
      <alignment horizontal="center"/>
    </xf>
    <xf numFmtId="0" fontId="0" fillId="38" borderId="0" xfId="0" applyFill="1"/>
    <xf numFmtId="0" fontId="16" fillId="40" borderId="10" xfId="0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vertical="center"/>
    </xf>
    <xf numFmtId="16" fontId="0" fillId="0" borderId="10" xfId="0" applyNumberFormat="1" applyBorder="1" applyAlignment="1">
      <alignment horizontal="center" vertical="center"/>
    </xf>
    <xf numFmtId="4" fontId="0" fillId="0" borderId="10" xfId="0" applyNumberFormat="1" applyBorder="1" applyAlignment="1">
      <alignment vertical="center"/>
    </xf>
    <xf numFmtId="16" fontId="0" fillId="0" borderId="10" xfId="0" applyNumberFormat="1" applyBorder="1" applyAlignment="1">
      <alignment horizontal="center"/>
    </xf>
    <xf numFmtId="0" fontId="16" fillId="40" borderId="10" xfId="0" applyFont="1" applyFill="1" applyBorder="1"/>
    <xf numFmtId="0" fontId="16" fillId="41" borderId="10" xfId="0" applyFont="1" applyFill="1" applyBorder="1"/>
    <xf numFmtId="0" fontId="0" fillId="42" borderId="10" xfId="0" applyFill="1" applyBorder="1"/>
    <xf numFmtId="0" fontId="25" fillId="39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3" fillId="36" borderId="10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6" borderId="13" xfId="0" applyFont="1" applyFill="1" applyBorder="1" applyAlignment="1">
      <alignment horizontal="center"/>
    </xf>
    <xf numFmtId="0" fontId="23" fillId="36" borderId="11" xfId="0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3" fillId="36" borderId="12" xfId="0" applyFont="1" applyFill="1" applyBorder="1" applyAlignment="1">
      <alignment horizontal="center" vertical="center"/>
    </xf>
    <xf numFmtId="0" fontId="23" fillId="36" borderId="13" xfId="0" applyFont="1" applyFill="1" applyBorder="1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Contribution of Broader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'Problem-1'!$I$1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02-4125-A716-7C79B765B6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02-4125-A716-7C79B765B6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02-4125-A716-7C79B765B6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02-4125-A716-7C79B765B6D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02-4125-A716-7C79B765B6D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02-4125-A716-7C79B765B6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'Problem-1'!$G$2:$G$7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Misc</c:v>
                </c:pt>
              </c:strCache>
            </c:strRef>
          </c:cat>
          <c:val>
            <c:numRef>
              <c:f>'Problem-1'!$I$2:$I$7</c:f>
              <c:numCache>
                <c:formatCode>0.0</c:formatCode>
                <c:ptCount val="6"/>
                <c:pt idx="0">
                  <c:v>49.563853557923679</c:v>
                </c:pt>
                <c:pt idx="1">
                  <c:v>4.3184943279477483</c:v>
                </c:pt>
                <c:pt idx="2">
                  <c:v>11.885527672739773</c:v>
                </c:pt>
                <c:pt idx="3">
                  <c:v>3.7727741491921618</c:v>
                </c:pt>
                <c:pt idx="4">
                  <c:v>3.9274664833276041</c:v>
                </c:pt>
                <c:pt idx="5">
                  <c:v>26.531883808869029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02-4125-A716-7C79B765B6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increase in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'Problem-2'!$F$3</c:f>
              <c:strCache>
                <c:ptCount val="1"/>
                <c:pt idx="0">
                  <c:v>YOY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'Problem-2'!$C$4:$C$9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'Problem-2'!$F$4:$F$9</c:f>
              <c:numCache>
                <c:formatCode>0%</c:formatCode>
                <c:ptCount val="6"/>
                <c:pt idx="0">
                  <c:v>4.8128342245989171E-2</c:v>
                </c:pt>
                <c:pt idx="1">
                  <c:v>2.2205989773557283E-2</c:v>
                </c:pt>
                <c:pt idx="2">
                  <c:v>7.2540339854348115E-2</c:v>
                </c:pt>
                <c:pt idx="3">
                  <c:v>5.3800856531049386E-2</c:v>
                </c:pt>
                <c:pt idx="4">
                  <c:v>5.8943608063281513E-2</c:v>
                </c:pt>
                <c:pt idx="5">
                  <c:v>6.0285817221087799E-2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A-498E-86F1-BAC19E7B94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77382399"/>
        <c:axId val="777380479"/>
      </c:scatterChart>
      <c:valAx>
        <c:axId val="77738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80479"/>
        <c:crosses val="autoZero"/>
        <c:crossBetween val="midCat"/>
      </c:valAx>
      <c:valAx>
        <c:axId val="7773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8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'Problem-3'!$G$4</c:f>
              <c:strCache>
                <c:ptCount val="1"/>
                <c:pt idx="0">
                  <c:v>Inflation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'Problem-3'!$E$5:$E$16</c:f>
              <c:strCache>
                <c:ptCount val="12"/>
                <c:pt idx="0">
                  <c:v>2022-June</c:v>
                </c:pt>
                <c:pt idx="1">
                  <c:v>2022-July</c:v>
                </c:pt>
                <c:pt idx="2">
                  <c:v>2022-August</c:v>
                </c:pt>
                <c:pt idx="3">
                  <c:v>2022-September</c:v>
                </c:pt>
                <c:pt idx="4">
                  <c:v>2022-October</c:v>
                </c:pt>
                <c:pt idx="5">
                  <c:v>2022-November</c:v>
                </c:pt>
                <c:pt idx="6">
                  <c:v>2022-December</c:v>
                </c:pt>
                <c:pt idx="7">
                  <c:v>2023-January</c:v>
                </c:pt>
                <c:pt idx="8">
                  <c:v>2023-February</c:v>
                </c:pt>
                <c:pt idx="9">
                  <c:v>2023-March</c:v>
                </c:pt>
                <c:pt idx="10">
                  <c:v>2023-April</c:v>
                </c:pt>
                <c:pt idx="11">
                  <c:v>2023-May</c:v>
                </c:pt>
              </c:strCache>
            </c:strRef>
          </c:cat>
          <c:val>
            <c:numRef>
              <c:f>'Problem-3'!$G$5:$G$16</c:f>
              <c:numCache>
                <c:formatCode>0.0%</c:formatCode>
                <c:ptCount val="12"/>
                <c:pt idx="0">
                  <c:v>2.1756747234160738E-3</c:v>
                </c:pt>
                <c:pt idx="1">
                  <c:v>2.1756747234160738E-3</c:v>
                </c:pt>
                <c:pt idx="2">
                  <c:v>4.9084916906249011E-3</c:v>
                </c:pt>
                <c:pt idx="3">
                  <c:v>5.5697438266494375E-3</c:v>
                </c:pt>
                <c:pt idx="4">
                  <c:v>5.2295329155470031E-5</c:v>
                </c:pt>
                <c:pt idx="5">
                  <c:v>-3.23531212017857E-3</c:v>
                </c:pt>
                <c:pt idx="6">
                  <c:v>-9.619420735984271E-5</c:v>
                </c:pt>
                <c:pt idx="7">
                  <c:v>-2.5161092359618558E-3</c:v>
                </c:pt>
                <c:pt idx="8">
                  <c:v>-4.2098985239064844E-4</c:v>
                </c:pt>
                <c:pt idx="9">
                  <c:v>4.3400806888244936E-3</c:v>
                </c:pt>
                <c:pt idx="10">
                  <c:v>6.6339199548915845E-3</c:v>
                </c:pt>
                <c:pt idx="11">
                  <c:v>5.7436386492707651E-4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7-4654-B533-A0902E374C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77408799"/>
        <c:axId val="777400159"/>
      </c:lineChart>
      <c:catAx>
        <c:axId val="7774087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00159"/>
        <c:crosses val="autoZero"/>
        <c:auto val="1"/>
        <c:lblAlgn val="ctr"/>
        <c:lblOffset val="100"/>
        <c:noMultiLvlLbl val="0"/>
      </c:catAx>
      <c:valAx>
        <c:axId val="777400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wise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'Problem-3'!$N$3</c:f>
              <c:strCache>
                <c:ptCount val="1"/>
                <c:pt idx="0">
                  <c:v>Inflation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03-4156-A2CF-0591E7AA01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'Problem-3'!$K$4:$K$16</c:f>
              <c:strCache>
                <c:ptCount val="13"/>
                <c:pt idx="0">
                  <c:v> Cereals and products</c:v>
                </c:pt>
                <c:pt idx="1">
                  <c:v> Meat and fish</c:v>
                </c:pt>
                <c:pt idx="2">
                  <c:v> Egg</c:v>
                </c:pt>
                <c:pt idx="3">
                  <c:v> Milk and products</c:v>
                </c:pt>
                <c:pt idx="4">
                  <c:v> Oils and fats</c:v>
                </c:pt>
                <c:pt idx="5">
                  <c:v> Fruits</c:v>
                </c:pt>
                <c:pt idx="6">
                  <c:v> Vegetables</c:v>
                </c:pt>
                <c:pt idx="7">
                  <c:v> Pulses and products</c:v>
                </c:pt>
                <c:pt idx="8">
                  <c:v> Sugar and Confectionery</c:v>
                </c:pt>
                <c:pt idx="9">
                  <c:v> Spices</c:v>
                </c:pt>
                <c:pt idx="10">
                  <c:v> Non-alcoholic beverages</c:v>
                </c:pt>
                <c:pt idx="11">
                  <c:v> Prepared meals, scks, sweets etc.</c:v>
                </c:pt>
                <c:pt idx="12">
                  <c:v> Food and beverages</c:v>
                </c:pt>
              </c:strCache>
            </c:strRef>
          </c:cat>
          <c:val>
            <c:numRef>
              <c:f>'Problem-3'!$N$4:$N$16</c:f>
              <c:numCache>
                <c:formatCode>0%</c:formatCode>
                <c:ptCount val="13"/>
                <c:pt idx="0">
                  <c:v>0.10566518141311264</c:v>
                </c:pt>
                <c:pt idx="1">
                  <c:v>6.6704246523863961E-3</c:v>
                </c:pt>
                <c:pt idx="2">
                  <c:v>9.2464170134071079E-4</c:v>
                </c:pt>
                <c:pt idx="3">
                  <c:v>7.6526328415497127E-2</c:v>
                </c:pt>
                <c:pt idx="4">
                  <c:v>-0.13424322672642092</c:v>
                </c:pt>
                <c:pt idx="5">
                  <c:v>-1.3917884481559331E-3</c:v>
                </c:pt>
                <c:pt idx="6">
                  <c:v>-0.11983380712879942</c:v>
                </c:pt>
                <c:pt idx="7">
                  <c:v>6.5404683897585247E-2</c:v>
                </c:pt>
                <c:pt idx="8">
                  <c:v>2.1138482023968095E-2</c:v>
                </c:pt>
                <c:pt idx="9">
                  <c:v>0.14640302902818664</c:v>
                </c:pt>
                <c:pt idx="10">
                  <c:v>2.5550035486160354E-2</c:v>
                </c:pt>
                <c:pt idx="11">
                  <c:v>5.0979543240610228E-2</c:v>
                </c:pt>
                <c:pt idx="12">
                  <c:v>2.2610483042137766E-2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03-4156-A2CF-0591E7AA01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20441695"/>
        <c:axId val="2120439775"/>
      </c:barChart>
      <c:catAx>
        <c:axId val="212044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39775"/>
        <c:crosses val="autoZero"/>
        <c:auto val="1"/>
        <c:lblAlgn val="ctr"/>
        <c:lblOffset val="100"/>
        <c:noMultiLvlLbl val="0"/>
      </c:catAx>
      <c:valAx>
        <c:axId val="212043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4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before 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'Problem-4'!$H$5</c:f>
              <c:strCache>
                <c:ptCount val="1"/>
                <c:pt idx="0">
                  <c:v>YOY Inflation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'Problem-4'!$E$6:$E$31</c:f>
              <c:strCache>
                <c:ptCount val="26"/>
                <c:pt idx="0">
                  <c:v>Footwear</c:v>
                </c:pt>
                <c:pt idx="1">
                  <c:v>Household goods and services</c:v>
                </c:pt>
                <c:pt idx="2">
                  <c:v>Clothing and footwear</c:v>
                </c:pt>
                <c:pt idx="3">
                  <c:v>Non-alcoholic beverages</c:v>
                </c:pt>
                <c:pt idx="4">
                  <c:v>Clothing</c:v>
                </c:pt>
                <c:pt idx="5">
                  <c:v>Education</c:v>
                </c:pt>
                <c:pt idx="6">
                  <c:v>Recreation and amusement</c:v>
                </c:pt>
                <c:pt idx="7">
                  <c:v>Health</c:v>
                </c:pt>
                <c:pt idx="8">
                  <c:v>Prepared meals, scks, sweets etc.</c:v>
                </c:pt>
                <c:pt idx="9">
                  <c:v>Fuel and light</c:v>
                </c:pt>
                <c:pt idx="10">
                  <c:v>Fruits</c:v>
                </c:pt>
                <c:pt idx="11">
                  <c:v>Transport and communication</c:v>
                </c:pt>
                <c:pt idx="12">
                  <c:v>Miscellaneous</c:v>
                </c:pt>
                <c:pt idx="13">
                  <c:v>Housing</c:v>
                </c:pt>
                <c:pt idx="14">
                  <c:v>Pan, tobacco and intoxicants</c:v>
                </c:pt>
                <c:pt idx="15">
                  <c:v>Meat and fish</c:v>
                </c:pt>
                <c:pt idx="16">
                  <c:v>Cereals and products</c:v>
                </c:pt>
                <c:pt idx="17">
                  <c:v>Food and beverages</c:v>
                </c:pt>
                <c:pt idx="18">
                  <c:v>Sugar and Confectionery</c:v>
                </c:pt>
                <c:pt idx="19">
                  <c:v>Milk and products</c:v>
                </c:pt>
                <c:pt idx="20">
                  <c:v>Egg</c:v>
                </c:pt>
                <c:pt idx="21">
                  <c:v>Persol care and effects</c:v>
                </c:pt>
                <c:pt idx="22">
                  <c:v>Oils and fats</c:v>
                </c:pt>
                <c:pt idx="23">
                  <c:v>Spices</c:v>
                </c:pt>
                <c:pt idx="24">
                  <c:v>Vegetables</c:v>
                </c:pt>
                <c:pt idx="25">
                  <c:v>Pulses and products</c:v>
                </c:pt>
              </c:strCache>
            </c:strRef>
          </c:cat>
          <c:val>
            <c:numRef>
              <c:f>'Problem-4'!$H$6:$H$31</c:f>
              <c:numCache>
                <c:formatCode>0%</c:formatCode>
                <c:ptCount val="26"/>
                <c:pt idx="0">
                  <c:v>6.2402496099843666E-3</c:v>
                </c:pt>
                <c:pt idx="1">
                  <c:v>1.1329096435479318E-2</c:v>
                </c:pt>
                <c:pt idx="2">
                  <c:v>1.5455531453362458E-2</c:v>
                </c:pt>
                <c:pt idx="3">
                  <c:v>1.5543656105905341E-2</c:v>
                </c:pt>
                <c:pt idx="4">
                  <c:v>1.7496635262449493E-2</c:v>
                </c:pt>
                <c:pt idx="5">
                  <c:v>2.1195865497841224E-2</c:v>
                </c:pt>
                <c:pt idx="6">
                  <c:v>2.175767918088739E-2</c:v>
                </c:pt>
                <c:pt idx="7">
                  <c:v>2.2727272727272717E-2</c:v>
                </c:pt>
                <c:pt idx="8">
                  <c:v>2.5443330763299788E-2</c:v>
                </c:pt>
                <c:pt idx="9">
                  <c:v>2.7020309615111541E-2</c:v>
                </c:pt>
                <c:pt idx="10">
                  <c:v>2.7677580466148786E-2</c:v>
                </c:pt>
                <c:pt idx="11">
                  <c:v>3.0952380952380999E-2</c:v>
                </c:pt>
                <c:pt idx="12">
                  <c:v>3.3937302272073616E-2</c:v>
                </c:pt>
                <c:pt idx="13">
                  <c:v>3.6731967943009793E-2</c:v>
                </c:pt>
                <c:pt idx="14">
                  <c:v>4.2250091318641166E-2</c:v>
                </c:pt>
                <c:pt idx="15">
                  <c:v>5.5358948432760305E-2</c:v>
                </c:pt>
                <c:pt idx="16">
                  <c:v>7.1273673557900721E-2</c:v>
                </c:pt>
                <c:pt idx="17">
                  <c:v>7.3790896159317221E-2</c:v>
                </c:pt>
                <c:pt idx="18">
                  <c:v>7.8409090909090914E-2</c:v>
                </c:pt>
                <c:pt idx="19">
                  <c:v>8.3800841514726637E-2</c:v>
                </c:pt>
                <c:pt idx="20">
                  <c:v>8.6567926455566976E-2</c:v>
                </c:pt>
                <c:pt idx="21">
                  <c:v>8.6663673102829034E-2</c:v>
                </c:pt>
                <c:pt idx="22">
                  <c:v>9.4696349648060174E-2</c:v>
                </c:pt>
                <c:pt idx="23">
                  <c:v>0.11234109412941</c:v>
                </c:pt>
                <c:pt idx="24">
                  <c:v>0.17512654668166475</c:v>
                </c:pt>
                <c:pt idx="25">
                  <c:v>0.18518963034085451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5-4A46-89BD-C9A16BE520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25503967"/>
        <c:axId val="1225507807"/>
      </c:barChart>
      <c:catAx>
        <c:axId val="122550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07807"/>
        <c:crosses val="autoZero"/>
        <c:auto val="1"/>
        <c:lblAlgn val="ctr"/>
        <c:lblOffset val="100"/>
        <c:noMultiLvlLbl val="0"/>
      </c:catAx>
      <c:valAx>
        <c:axId val="12255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After 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'Problem-4'!$P$5</c:f>
              <c:strCache>
                <c:ptCount val="1"/>
                <c:pt idx="0">
                  <c:v>YOY Inflation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'Problem-4'!$M$6:$M$31</c:f>
              <c:strCache>
                <c:ptCount val="26"/>
                <c:pt idx="0">
                  <c:v>Vegetables</c:v>
                </c:pt>
                <c:pt idx="1">
                  <c:v>Sugar and Confectionery</c:v>
                </c:pt>
                <c:pt idx="2">
                  <c:v>Cereals and products</c:v>
                </c:pt>
                <c:pt idx="3">
                  <c:v>Milk and products</c:v>
                </c:pt>
                <c:pt idx="4">
                  <c:v>Housing</c:v>
                </c:pt>
                <c:pt idx="5">
                  <c:v>Education</c:v>
                </c:pt>
                <c:pt idx="6">
                  <c:v>Household goods and services</c:v>
                </c:pt>
                <c:pt idx="7">
                  <c:v>Food and beverages</c:v>
                </c:pt>
                <c:pt idx="8">
                  <c:v>Clothing</c:v>
                </c:pt>
                <c:pt idx="9">
                  <c:v>Clothing and footwear</c:v>
                </c:pt>
                <c:pt idx="10">
                  <c:v>Spices</c:v>
                </c:pt>
                <c:pt idx="11">
                  <c:v>Prepared meals, scks, sweets etc.</c:v>
                </c:pt>
                <c:pt idx="12">
                  <c:v>Footwear</c:v>
                </c:pt>
                <c:pt idx="13">
                  <c:v>Persol care and effects</c:v>
                </c:pt>
                <c:pt idx="14">
                  <c:v>Recreation and amusement</c:v>
                </c:pt>
                <c:pt idx="15">
                  <c:v>Miscellaneous</c:v>
                </c:pt>
                <c:pt idx="16">
                  <c:v>Fuel and light</c:v>
                </c:pt>
                <c:pt idx="17">
                  <c:v>Health</c:v>
                </c:pt>
                <c:pt idx="18">
                  <c:v>Fruits</c:v>
                </c:pt>
                <c:pt idx="19">
                  <c:v>Pulses and products</c:v>
                </c:pt>
                <c:pt idx="20">
                  <c:v>Pan, tobacco and intoxicants</c:v>
                </c:pt>
                <c:pt idx="21">
                  <c:v>Egg</c:v>
                </c:pt>
                <c:pt idx="22">
                  <c:v>Transport and communication</c:v>
                </c:pt>
                <c:pt idx="23">
                  <c:v>Non-alcoholic beverages</c:v>
                </c:pt>
                <c:pt idx="24">
                  <c:v>Meat and fish</c:v>
                </c:pt>
                <c:pt idx="25">
                  <c:v>Oils and fats</c:v>
                </c:pt>
              </c:strCache>
            </c:strRef>
          </c:cat>
          <c:val>
            <c:numRef>
              <c:f>'Problem-4'!$P$6:$P$31</c:f>
              <c:numCache>
                <c:formatCode>0%</c:formatCode>
                <c:ptCount val="26"/>
                <c:pt idx="0">
                  <c:v>-0.12808854322464849</c:v>
                </c:pt>
                <c:pt idx="1">
                  <c:v>-4.4046364594309752E-2</c:v>
                </c:pt>
                <c:pt idx="2">
                  <c:v>-2.3211875843454778E-2</c:v>
                </c:pt>
                <c:pt idx="3">
                  <c:v>5.6292461986410611E-3</c:v>
                </c:pt>
                <c:pt idx="4">
                  <c:v>3.6504187245007452E-2</c:v>
                </c:pt>
                <c:pt idx="5">
                  <c:v>3.7540038436899514E-2</c:v>
                </c:pt>
                <c:pt idx="6">
                  <c:v>4.4945355191256524E-2</c:v>
                </c:pt>
                <c:pt idx="7">
                  <c:v>4.7855605232654377E-2</c:v>
                </c:pt>
                <c:pt idx="8">
                  <c:v>5.6216931216931221E-2</c:v>
                </c:pt>
                <c:pt idx="9">
                  <c:v>5.6742323097463278E-2</c:v>
                </c:pt>
                <c:pt idx="10">
                  <c:v>5.8491171749598621E-2</c:v>
                </c:pt>
                <c:pt idx="11">
                  <c:v>5.9022556390977365E-2</c:v>
                </c:pt>
                <c:pt idx="12">
                  <c:v>5.9055673009161348E-2</c:v>
                </c:pt>
                <c:pt idx="13">
                  <c:v>7.3966942148760401E-2</c:v>
                </c:pt>
                <c:pt idx="14">
                  <c:v>7.6548364648573425E-2</c:v>
                </c:pt>
                <c:pt idx="15">
                  <c:v>8.1780250347705072E-2</c:v>
                </c:pt>
                <c:pt idx="16">
                  <c:v>8.3768366464995747E-2</c:v>
                </c:pt>
                <c:pt idx="17">
                  <c:v>8.4072413220395284E-2</c:v>
                </c:pt>
                <c:pt idx="18">
                  <c:v>9.3216334795815065E-2</c:v>
                </c:pt>
                <c:pt idx="19">
                  <c:v>9.4345991561181397E-2</c:v>
                </c:pt>
                <c:pt idx="20">
                  <c:v>0.10712616822429909</c:v>
                </c:pt>
                <c:pt idx="21">
                  <c:v>0.11035756253147558</c:v>
                </c:pt>
                <c:pt idx="22">
                  <c:v>0.13903002309468801</c:v>
                </c:pt>
                <c:pt idx="23">
                  <c:v>0.16016111314536802</c:v>
                </c:pt>
                <c:pt idx="24">
                  <c:v>0.18167664670658684</c:v>
                </c:pt>
                <c:pt idx="25">
                  <c:v>0.27850467289719627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6-4BF9-8D89-ED8683F6E4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41796063"/>
        <c:axId val="441796543"/>
      </c:barChart>
      <c:catAx>
        <c:axId val="44179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96543"/>
        <c:crosses val="autoZero"/>
        <c:auto val="1"/>
        <c:lblAlgn val="ctr"/>
        <c:lblOffset val="100"/>
        <c:noMultiLvlLbl val="0"/>
      </c:catAx>
      <c:valAx>
        <c:axId val="44179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9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Broader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'Problem-1'!$I$1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5C-4E22-B5FC-FD9A0A04BB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E5C-4E22-B5FC-FD9A0A04BB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5C-4E22-B5FC-FD9A0A04BB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E5C-4E22-B5FC-FD9A0A04BB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5C-4E22-B5FC-FD9A0A04BB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E5C-4E22-B5FC-FD9A0A04BBE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E5C-4E22-B5FC-FD9A0A04BBE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E5C-4E22-B5FC-FD9A0A04BBE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E5C-4E22-B5FC-FD9A0A04BBE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E5C-4E22-B5FC-FD9A0A04BBE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E5C-4E22-B5FC-FD9A0A04BBE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E5C-4E22-B5FC-FD9A0A04BBE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'Problem-1'!$G$2:$G$7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Misc</c:v>
                </c:pt>
              </c:strCache>
            </c:strRef>
          </c:cat>
          <c:val>
            <c:numRef>
              <c:f>'Problem-1'!$I$2:$I$7</c:f>
              <c:numCache>
                <c:formatCode>0.0</c:formatCode>
                <c:ptCount val="6"/>
                <c:pt idx="0">
                  <c:v>49.563853557923679</c:v>
                </c:pt>
                <c:pt idx="1">
                  <c:v>4.3184943279477483</c:v>
                </c:pt>
                <c:pt idx="2">
                  <c:v>11.885527672739773</c:v>
                </c:pt>
                <c:pt idx="3">
                  <c:v>3.7727741491921618</c:v>
                </c:pt>
                <c:pt idx="4">
                  <c:v>3.9274664833276041</c:v>
                </c:pt>
                <c:pt idx="5">
                  <c:v>26.531883808869029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C-4E22-B5FC-FD9A0A04B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increase in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'Problem-2'!$F$3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'Problem-2'!$C$4:$C$9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'Problem-2'!$F$4:$F$9</c:f>
              <c:numCache>
                <c:formatCode>0%</c:formatCode>
                <c:ptCount val="6"/>
                <c:pt idx="0">
                  <c:v>4.8128342245989171E-2</c:v>
                </c:pt>
                <c:pt idx="1">
                  <c:v>2.2205989773557283E-2</c:v>
                </c:pt>
                <c:pt idx="2">
                  <c:v>7.2540339854348115E-2</c:v>
                </c:pt>
                <c:pt idx="3">
                  <c:v>5.3800856531049386E-2</c:v>
                </c:pt>
                <c:pt idx="4">
                  <c:v>5.8943608063281513E-2</c:v>
                </c:pt>
                <c:pt idx="5">
                  <c:v>6.0285817221087799E-2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3-47AA-91D3-5E62776B2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82399"/>
        <c:axId val="777380479"/>
      </c:scatterChart>
      <c:valAx>
        <c:axId val="77738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80479"/>
        <c:crosses val="autoZero"/>
        <c:crossBetween val="midCat"/>
      </c:valAx>
      <c:valAx>
        <c:axId val="7773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8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'Problem-3'!$G$4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'Problem-3'!$E$5:$E$16</c:f>
              <c:strCache>
                <c:ptCount val="12"/>
                <c:pt idx="0">
                  <c:v>2022-June</c:v>
                </c:pt>
                <c:pt idx="1">
                  <c:v>2022-July</c:v>
                </c:pt>
                <c:pt idx="2">
                  <c:v>2022-August</c:v>
                </c:pt>
                <c:pt idx="3">
                  <c:v>2022-September</c:v>
                </c:pt>
                <c:pt idx="4">
                  <c:v>2022-October</c:v>
                </c:pt>
                <c:pt idx="5">
                  <c:v>2022-November</c:v>
                </c:pt>
                <c:pt idx="6">
                  <c:v>2022-December</c:v>
                </c:pt>
                <c:pt idx="7">
                  <c:v>2023-January</c:v>
                </c:pt>
                <c:pt idx="8">
                  <c:v>2023-February</c:v>
                </c:pt>
                <c:pt idx="9">
                  <c:v>2023-March</c:v>
                </c:pt>
                <c:pt idx="10">
                  <c:v>2023-April</c:v>
                </c:pt>
                <c:pt idx="11">
                  <c:v>2023-May</c:v>
                </c:pt>
              </c:strCache>
            </c:strRef>
          </c:cat>
          <c:val>
            <c:numRef>
              <c:f>'Problem-3'!$G$5:$G$16</c:f>
              <c:numCache>
                <c:formatCode>0.0%</c:formatCode>
                <c:ptCount val="12"/>
                <c:pt idx="0">
                  <c:v>2.1756747234160738E-3</c:v>
                </c:pt>
                <c:pt idx="1">
                  <c:v>2.1756747234160738E-3</c:v>
                </c:pt>
                <c:pt idx="2">
                  <c:v>4.9084916906249011E-3</c:v>
                </c:pt>
                <c:pt idx="3">
                  <c:v>5.5697438266494375E-3</c:v>
                </c:pt>
                <c:pt idx="4">
                  <c:v>5.2295329155470031E-5</c:v>
                </c:pt>
                <c:pt idx="5">
                  <c:v>-3.23531212017857E-3</c:v>
                </c:pt>
                <c:pt idx="6">
                  <c:v>-9.619420735984271E-5</c:v>
                </c:pt>
                <c:pt idx="7">
                  <c:v>-2.5161092359618558E-3</c:v>
                </c:pt>
                <c:pt idx="8">
                  <c:v>-4.2098985239064844E-4</c:v>
                </c:pt>
                <c:pt idx="9">
                  <c:v>4.3400806888244936E-3</c:v>
                </c:pt>
                <c:pt idx="10">
                  <c:v>6.6339199548915845E-3</c:v>
                </c:pt>
                <c:pt idx="11">
                  <c:v>5.7436386492707651E-4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6-4CF4-B251-33FB2F6B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08799"/>
        <c:axId val="777400159"/>
      </c:lineChart>
      <c:catAx>
        <c:axId val="7774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00159"/>
        <c:crosses val="autoZero"/>
        <c:auto val="1"/>
        <c:lblAlgn val="ctr"/>
        <c:lblOffset val="100"/>
        <c:noMultiLvlLbl val="0"/>
      </c:catAx>
      <c:valAx>
        <c:axId val="7774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</a:t>
            </a:r>
            <a:r>
              <a:rPr lang="en-US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'Problem-3'!$N$3</c:f>
              <c:strCache>
                <c:ptCount val="1"/>
                <c:pt idx="0">
                  <c:v>Inflation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26E2-4834-B1F0-E6CDA12CB0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'Problem-3'!$K$4:$K$16</c:f>
              <c:strCache>
                <c:ptCount val="13"/>
                <c:pt idx="0">
                  <c:v> Cereals and products</c:v>
                </c:pt>
                <c:pt idx="1">
                  <c:v> Meat and fish</c:v>
                </c:pt>
                <c:pt idx="2">
                  <c:v> Egg</c:v>
                </c:pt>
                <c:pt idx="3">
                  <c:v> Milk and products</c:v>
                </c:pt>
                <c:pt idx="4">
                  <c:v> Oils and fats</c:v>
                </c:pt>
                <c:pt idx="5">
                  <c:v> Fruits</c:v>
                </c:pt>
                <c:pt idx="6">
                  <c:v> Vegetables</c:v>
                </c:pt>
                <c:pt idx="7">
                  <c:v> Pulses and products</c:v>
                </c:pt>
                <c:pt idx="8">
                  <c:v> Sugar and Confectionery</c:v>
                </c:pt>
                <c:pt idx="9">
                  <c:v> Spices</c:v>
                </c:pt>
                <c:pt idx="10">
                  <c:v> Non-alcoholic beverages</c:v>
                </c:pt>
                <c:pt idx="11">
                  <c:v> Prepared meals, scks, sweets etc.</c:v>
                </c:pt>
                <c:pt idx="12">
                  <c:v> Food and beverages</c:v>
                </c:pt>
              </c:strCache>
            </c:strRef>
          </c:cat>
          <c:val>
            <c:numRef>
              <c:f>'Problem-3'!$N$4:$N$16</c:f>
              <c:numCache>
                <c:formatCode>0%</c:formatCode>
                <c:ptCount val="13"/>
                <c:pt idx="0">
                  <c:v>0.10566518141311264</c:v>
                </c:pt>
                <c:pt idx="1">
                  <c:v>6.6704246523863961E-3</c:v>
                </c:pt>
                <c:pt idx="2">
                  <c:v>9.2464170134071079E-4</c:v>
                </c:pt>
                <c:pt idx="3">
                  <c:v>7.6526328415497127E-2</c:v>
                </c:pt>
                <c:pt idx="4">
                  <c:v>-0.13424322672642092</c:v>
                </c:pt>
                <c:pt idx="5">
                  <c:v>-1.3917884481559331E-3</c:v>
                </c:pt>
                <c:pt idx="6">
                  <c:v>-0.11983380712879942</c:v>
                </c:pt>
                <c:pt idx="7">
                  <c:v>6.5404683897585247E-2</c:v>
                </c:pt>
                <c:pt idx="8">
                  <c:v>2.1138482023968095E-2</c:v>
                </c:pt>
                <c:pt idx="9">
                  <c:v>0.14640302902818664</c:v>
                </c:pt>
                <c:pt idx="10">
                  <c:v>2.5550035486160354E-2</c:v>
                </c:pt>
                <c:pt idx="11">
                  <c:v>5.0979543240610228E-2</c:v>
                </c:pt>
                <c:pt idx="12">
                  <c:v>2.2610483042137766E-2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2-4834-B1F0-E6CDA12CB0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120441695"/>
        <c:axId val="2120439775"/>
      </c:barChart>
      <c:catAx>
        <c:axId val="212044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39775"/>
        <c:crosses val="autoZero"/>
        <c:auto val="1"/>
        <c:lblAlgn val="ctr"/>
        <c:lblOffset val="100"/>
        <c:noMultiLvlLbl val="0"/>
      </c:catAx>
      <c:valAx>
        <c:axId val="212043977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4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before 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'Problem-4'!$H$5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'Problem-4'!$E$6:$E$31</c:f>
              <c:strCache>
                <c:ptCount val="26"/>
                <c:pt idx="0">
                  <c:v>Footwear</c:v>
                </c:pt>
                <c:pt idx="1">
                  <c:v>Household goods and services</c:v>
                </c:pt>
                <c:pt idx="2">
                  <c:v>Clothing and footwear</c:v>
                </c:pt>
                <c:pt idx="3">
                  <c:v>Non-alcoholic beverages</c:v>
                </c:pt>
                <c:pt idx="4">
                  <c:v>Clothing</c:v>
                </c:pt>
                <c:pt idx="5">
                  <c:v>Education</c:v>
                </c:pt>
                <c:pt idx="6">
                  <c:v>Recreation and amusement</c:v>
                </c:pt>
                <c:pt idx="7">
                  <c:v>Health</c:v>
                </c:pt>
                <c:pt idx="8">
                  <c:v>Prepared meals, scks, sweets etc.</c:v>
                </c:pt>
                <c:pt idx="9">
                  <c:v>Fuel and light</c:v>
                </c:pt>
                <c:pt idx="10">
                  <c:v>Fruits</c:v>
                </c:pt>
                <c:pt idx="11">
                  <c:v>Transport and communication</c:v>
                </c:pt>
                <c:pt idx="12">
                  <c:v>Miscellaneous</c:v>
                </c:pt>
                <c:pt idx="13">
                  <c:v>Housing</c:v>
                </c:pt>
                <c:pt idx="14">
                  <c:v>Pan, tobacco and intoxicants</c:v>
                </c:pt>
                <c:pt idx="15">
                  <c:v>Meat and fish</c:v>
                </c:pt>
                <c:pt idx="16">
                  <c:v>Cereals and products</c:v>
                </c:pt>
                <c:pt idx="17">
                  <c:v>Food and beverages</c:v>
                </c:pt>
                <c:pt idx="18">
                  <c:v>Sugar and Confectionery</c:v>
                </c:pt>
                <c:pt idx="19">
                  <c:v>Milk and products</c:v>
                </c:pt>
                <c:pt idx="20">
                  <c:v>Egg</c:v>
                </c:pt>
                <c:pt idx="21">
                  <c:v>Persol care and effects</c:v>
                </c:pt>
                <c:pt idx="22">
                  <c:v>Oils and fats</c:v>
                </c:pt>
                <c:pt idx="23">
                  <c:v>Spices</c:v>
                </c:pt>
                <c:pt idx="24">
                  <c:v>Vegetables</c:v>
                </c:pt>
                <c:pt idx="25">
                  <c:v>Pulses and products</c:v>
                </c:pt>
              </c:strCache>
            </c:strRef>
          </c:cat>
          <c:val>
            <c:numRef>
              <c:f>'Problem-4'!$H$6:$H$31</c:f>
              <c:numCache>
                <c:formatCode>0%</c:formatCode>
                <c:ptCount val="26"/>
                <c:pt idx="0">
                  <c:v>6.2402496099843666E-3</c:v>
                </c:pt>
                <c:pt idx="1">
                  <c:v>1.1329096435479318E-2</c:v>
                </c:pt>
                <c:pt idx="2">
                  <c:v>1.5455531453362458E-2</c:v>
                </c:pt>
                <c:pt idx="3">
                  <c:v>1.5543656105905341E-2</c:v>
                </c:pt>
                <c:pt idx="4">
                  <c:v>1.7496635262449493E-2</c:v>
                </c:pt>
                <c:pt idx="5">
                  <c:v>2.1195865497841224E-2</c:v>
                </c:pt>
                <c:pt idx="6">
                  <c:v>2.175767918088739E-2</c:v>
                </c:pt>
                <c:pt idx="7">
                  <c:v>2.2727272727272717E-2</c:v>
                </c:pt>
                <c:pt idx="8">
                  <c:v>2.5443330763299788E-2</c:v>
                </c:pt>
                <c:pt idx="9">
                  <c:v>2.7020309615111541E-2</c:v>
                </c:pt>
                <c:pt idx="10">
                  <c:v>2.7677580466148786E-2</c:v>
                </c:pt>
                <c:pt idx="11">
                  <c:v>3.0952380952380999E-2</c:v>
                </c:pt>
                <c:pt idx="12">
                  <c:v>3.3937302272073616E-2</c:v>
                </c:pt>
                <c:pt idx="13">
                  <c:v>3.6731967943009793E-2</c:v>
                </c:pt>
                <c:pt idx="14">
                  <c:v>4.2250091318641166E-2</c:v>
                </c:pt>
                <c:pt idx="15">
                  <c:v>5.5358948432760305E-2</c:v>
                </c:pt>
                <c:pt idx="16">
                  <c:v>7.1273673557900721E-2</c:v>
                </c:pt>
                <c:pt idx="17">
                  <c:v>7.3790896159317221E-2</c:v>
                </c:pt>
                <c:pt idx="18">
                  <c:v>7.8409090909090914E-2</c:v>
                </c:pt>
                <c:pt idx="19">
                  <c:v>8.3800841514726637E-2</c:v>
                </c:pt>
                <c:pt idx="20">
                  <c:v>8.6567926455566976E-2</c:v>
                </c:pt>
                <c:pt idx="21">
                  <c:v>8.6663673102829034E-2</c:v>
                </c:pt>
                <c:pt idx="22">
                  <c:v>9.4696349648060174E-2</c:v>
                </c:pt>
                <c:pt idx="23">
                  <c:v>0.11234109412941</c:v>
                </c:pt>
                <c:pt idx="24">
                  <c:v>0.17512654668166475</c:v>
                </c:pt>
                <c:pt idx="25">
                  <c:v>0.18518963034085451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A-4D53-9A28-A4FD10473D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5503967"/>
        <c:axId val="1225507807"/>
      </c:barChart>
      <c:catAx>
        <c:axId val="122550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07807"/>
        <c:crosses val="autoZero"/>
        <c:auto val="1"/>
        <c:lblAlgn val="ctr"/>
        <c:lblOffset val="100"/>
        <c:noMultiLvlLbl val="0"/>
      </c:catAx>
      <c:valAx>
        <c:axId val="1225507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Inflation After 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'Problem-4'!$P$5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'Problem-4'!$M$6:$M$31</c:f>
              <c:strCache>
                <c:ptCount val="26"/>
                <c:pt idx="0">
                  <c:v>Vegetables</c:v>
                </c:pt>
                <c:pt idx="1">
                  <c:v>Sugar and Confectionery</c:v>
                </c:pt>
                <c:pt idx="2">
                  <c:v>Cereals and products</c:v>
                </c:pt>
                <c:pt idx="3">
                  <c:v>Milk and products</c:v>
                </c:pt>
                <c:pt idx="4">
                  <c:v>Housing</c:v>
                </c:pt>
                <c:pt idx="5">
                  <c:v>Education</c:v>
                </c:pt>
                <c:pt idx="6">
                  <c:v>Household goods and services</c:v>
                </c:pt>
                <c:pt idx="7">
                  <c:v>Food and beverages</c:v>
                </c:pt>
                <c:pt idx="8">
                  <c:v>Clothing</c:v>
                </c:pt>
                <c:pt idx="9">
                  <c:v>Clothing and footwear</c:v>
                </c:pt>
                <c:pt idx="10">
                  <c:v>Spices</c:v>
                </c:pt>
                <c:pt idx="11">
                  <c:v>Prepared meals, scks, sweets etc.</c:v>
                </c:pt>
                <c:pt idx="12">
                  <c:v>Footwear</c:v>
                </c:pt>
                <c:pt idx="13">
                  <c:v>Persol care and effects</c:v>
                </c:pt>
                <c:pt idx="14">
                  <c:v>Recreation and amusement</c:v>
                </c:pt>
                <c:pt idx="15">
                  <c:v>Miscellaneous</c:v>
                </c:pt>
                <c:pt idx="16">
                  <c:v>Fuel and light</c:v>
                </c:pt>
                <c:pt idx="17">
                  <c:v>Health</c:v>
                </c:pt>
                <c:pt idx="18">
                  <c:v>Fruits</c:v>
                </c:pt>
                <c:pt idx="19">
                  <c:v>Pulses and products</c:v>
                </c:pt>
                <c:pt idx="20">
                  <c:v>Pan, tobacco and intoxicants</c:v>
                </c:pt>
                <c:pt idx="21">
                  <c:v>Egg</c:v>
                </c:pt>
                <c:pt idx="22">
                  <c:v>Transport and communication</c:v>
                </c:pt>
                <c:pt idx="23">
                  <c:v>Non-alcoholic beverages</c:v>
                </c:pt>
                <c:pt idx="24">
                  <c:v>Meat and fish</c:v>
                </c:pt>
                <c:pt idx="25">
                  <c:v>Oils and fats</c:v>
                </c:pt>
              </c:strCache>
            </c:strRef>
          </c:cat>
          <c:val>
            <c:numRef>
              <c:f>'Problem-4'!$P$6:$P$31</c:f>
              <c:numCache>
                <c:formatCode>0%</c:formatCode>
                <c:ptCount val="26"/>
                <c:pt idx="0">
                  <c:v>-0.12808854322464849</c:v>
                </c:pt>
                <c:pt idx="1">
                  <c:v>-4.4046364594309752E-2</c:v>
                </c:pt>
                <c:pt idx="2">
                  <c:v>-2.3211875843454778E-2</c:v>
                </c:pt>
                <c:pt idx="3">
                  <c:v>5.6292461986410611E-3</c:v>
                </c:pt>
                <c:pt idx="4">
                  <c:v>3.6504187245007452E-2</c:v>
                </c:pt>
                <c:pt idx="5">
                  <c:v>3.7540038436899514E-2</c:v>
                </c:pt>
                <c:pt idx="6">
                  <c:v>4.4945355191256524E-2</c:v>
                </c:pt>
                <c:pt idx="7">
                  <c:v>4.7855605232654377E-2</c:v>
                </c:pt>
                <c:pt idx="8">
                  <c:v>5.6216931216931221E-2</c:v>
                </c:pt>
                <c:pt idx="9">
                  <c:v>5.6742323097463278E-2</c:v>
                </c:pt>
                <c:pt idx="10">
                  <c:v>5.8491171749598621E-2</c:v>
                </c:pt>
                <c:pt idx="11">
                  <c:v>5.9022556390977365E-2</c:v>
                </c:pt>
                <c:pt idx="12">
                  <c:v>5.9055673009161348E-2</c:v>
                </c:pt>
                <c:pt idx="13">
                  <c:v>7.3966942148760401E-2</c:v>
                </c:pt>
                <c:pt idx="14">
                  <c:v>7.6548364648573425E-2</c:v>
                </c:pt>
                <c:pt idx="15">
                  <c:v>8.1780250347705072E-2</c:v>
                </c:pt>
                <c:pt idx="16">
                  <c:v>8.3768366464995747E-2</c:v>
                </c:pt>
                <c:pt idx="17">
                  <c:v>8.4072413220395284E-2</c:v>
                </c:pt>
                <c:pt idx="18">
                  <c:v>9.3216334795815065E-2</c:v>
                </c:pt>
                <c:pt idx="19">
                  <c:v>9.4345991561181397E-2</c:v>
                </c:pt>
                <c:pt idx="20">
                  <c:v>0.10712616822429909</c:v>
                </c:pt>
                <c:pt idx="21">
                  <c:v>0.11035756253147558</c:v>
                </c:pt>
                <c:pt idx="22">
                  <c:v>0.13903002309468801</c:v>
                </c:pt>
                <c:pt idx="23">
                  <c:v>0.16016111314536802</c:v>
                </c:pt>
                <c:pt idx="24">
                  <c:v>0.18167664670658684</c:v>
                </c:pt>
                <c:pt idx="25">
                  <c:v>0.27850467289719627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4-4952-BF69-216C451F6C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1796063"/>
        <c:axId val="441796543"/>
      </c:barChart>
      <c:catAx>
        <c:axId val="44179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96543"/>
        <c:crosses val="autoZero"/>
        <c:auto val="1"/>
        <c:lblAlgn val="ctr"/>
        <c:lblOffset val="100"/>
        <c:noMultiLvlLbl val="0"/>
      </c:catAx>
      <c:valAx>
        <c:axId val="4417965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9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594360</xdr:colOff>
      <xdr:row>4</xdr:row>
      <xdr:rowOff>30480</xdr:rowOff>
    </xdr:from>
    <xdr:to>
      <xdr:col>12</xdr:col>
      <xdr:colOff>320040</xdr:colOff>
      <xdr:row>23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D1547-F6B7-4EA6-8143-96C88A6F1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586740</xdr:colOff>
      <xdr:row>4</xdr:row>
      <xdr:rowOff>30480</xdr:rowOff>
    </xdr:from>
    <xdr:to>
      <xdr:col>25</xdr:col>
      <xdr:colOff>14654</xdr:colOff>
      <xdr:row>23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6DFF6-903B-4D6F-A7E2-A4DBDB398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586740</xdr:colOff>
      <xdr:row>25</xdr:row>
      <xdr:rowOff>106680</xdr:rowOff>
    </xdr:from>
    <xdr:to>
      <xdr:col>14</xdr:col>
      <xdr:colOff>574069</xdr:colOff>
      <xdr:row>40</xdr:row>
      <xdr:rowOff>60446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D2A44-3314-4CDE-8A64-FE49E69F1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160020</xdr:colOff>
      <xdr:row>25</xdr:row>
      <xdr:rowOff>99060</xdr:rowOff>
    </xdr:from>
    <xdr:to>
      <xdr:col>24</xdr:col>
      <xdr:colOff>546925</xdr:colOff>
      <xdr:row>40</xdr:row>
      <xdr:rowOff>52825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F3C7A7-F911-44E1-83D0-4168CA78C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601980</xdr:colOff>
      <xdr:row>41</xdr:row>
      <xdr:rowOff>160020</xdr:rowOff>
    </xdr:from>
    <xdr:to>
      <xdr:col>13</xdr:col>
      <xdr:colOff>22860</xdr:colOff>
      <xdr:row>70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32AB3D-12C2-4962-9D2A-983787FF3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457200</xdr:colOff>
      <xdr:row>41</xdr:row>
      <xdr:rowOff>144780</xdr:rowOff>
    </xdr:from>
    <xdr:to>
      <xdr:col>24</xdr:col>
      <xdr:colOff>510540</xdr:colOff>
      <xdr:row>70</xdr:row>
      <xdr:rowOff>73269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C652FF-8F94-4420-9DA2-6DC31EEF1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8</xdr:row>
      <xdr:rowOff>41910</xdr:rowOff>
    </xdr:from>
    <xdr:to>
      <xdr:col>11</xdr:col>
      <xdr:colOff>312420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5D9F0-DDDA-7018-ABB9-187DCBC5F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9</xdr:row>
      <xdr:rowOff>125730</xdr:rowOff>
    </xdr:from>
    <xdr:to>
      <xdr:col>7</xdr:col>
      <xdr:colOff>579120</xdr:colOff>
      <xdr:row>24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16785-EEC0-10A6-DDF7-EE227DBD8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898897</xdr:colOff>
      <xdr:row>18</xdr:row>
      <xdr:rowOff>59252</xdr:rowOff>
    </xdr:from>
    <xdr:to>
      <xdr:col>7</xdr:col>
      <xdr:colOff>959857</xdr:colOff>
      <xdr:row>33</xdr:row>
      <xdr:rowOff>59252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BDE18C-6066-A6B2-B77A-ABDDC11E0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5346</xdr:colOff>
      <xdr:row>18</xdr:row>
      <xdr:rowOff>137495</xdr:rowOff>
    </xdr:from>
    <xdr:to>
      <xdr:col>14</xdr:col>
      <xdr:colOff>133684</xdr:colOff>
      <xdr:row>33</xdr:row>
      <xdr:rowOff>137494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CAB8F8-E153-1015-07B1-E322AD9BC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31</xdr:row>
      <xdr:rowOff>179070</xdr:rowOff>
    </xdr:from>
    <xdr:to>
      <xdr:col>9</xdr:col>
      <xdr:colOff>53340</xdr:colOff>
      <xdr:row>60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09EFA3-C35F-B226-011D-492B85631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</xdr:colOff>
      <xdr:row>31</xdr:row>
      <xdr:rowOff>179070</xdr:rowOff>
    </xdr:from>
    <xdr:to>
      <xdr:col>16</xdr:col>
      <xdr:colOff>236220</xdr:colOff>
      <xdr:row>59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DC692B-45BC-0CA3-37B8-97A826F94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AAN" refreshedDate="45983.918907754633" createdVersion="8" refreshedVersion="8" minRefreshableVersion="3" recordCount="372" xr:uid="{D5F99CE9-5427-4AAC-B3B9-451370CBB64C}">
  <cacheSource type="worksheet">
    <worksheetSource ref="A1:AG373" sheet="Cleaned Data"/>
  </cacheSource>
  <cacheFields count="33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23"/>
        <n v="2022"/>
        <n v="2021"/>
        <n v="2020"/>
        <n v="2019"/>
        <n v="2018"/>
        <n v="2017"/>
        <n v="2016"/>
        <n v="2015"/>
        <n v="2014"/>
        <n v="2013"/>
      </sharedItems>
    </cacheField>
    <cacheField name="Month" numFmtId="0">
      <sharedItems count="13">
        <s v="May"/>
        <s v="April"/>
        <s v="March"/>
        <s v="February"/>
        <s v="January"/>
        <s v="December"/>
        <s v="November"/>
        <s v="October"/>
        <s v="September"/>
        <s v="August"/>
        <s v="July"/>
        <s v="June"/>
        <s v="November "/>
      </sharedItems>
    </cacheField>
    <cacheField name="Year+Month" numFmtId="0">
      <sharedItems count="125">
        <s v="2023-May"/>
        <s v="2023-April"/>
        <s v="2023-March"/>
        <s v="2023-February"/>
        <s v="2023-January"/>
        <s v="2022-December"/>
        <s v="2022-November"/>
        <s v="2022-October"/>
        <s v="2022-September"/>
        <s v="2022-August"/>
        <s v="2022-July"/>
        <s v="2022-June"/>
        <s v="2022-May"/>
        <s v="2022-April"/>
        <s v="2022-March"/>
        <s v="2022-February"/>
        <s v="2022-January"/>
        <s v="2021-December"/>
        <s v="2021-November"/>
        <s v="2021-October"/>
        <s v="2021-September"/>
        <s v="2021-August"/>
        <s v="2021-July"/>
        <s v="2021-June"/>
        <s v="2021-May"/>
        <s v="2021-April"/>
        <s v="2021-March"/>
        <s v="2021-February"/>
        <s v="2021-January"/>
        <s v="2020-December"/>
        <s v="2020-November"/>
        <s v="2020-October"/>
        <s v="2020-September"/>
        <s v="2020-August"/>
        <s v="2020-July"/>
        <s v="2020-June"/>
        <s v="2020-May"/>
        <s v="2020-April"/>
        <s v="2020-March"/>
        <s v="2020-February"/>
        <s v="2020-January"/>
        <s v="2019-December"/>
        <s v="2019-November"/>
        <s v="2019-October"/>
        <s v="2019-September"/>
        <s v="2019-August"/>
        <s v="2019-July"/>
        <s v="2019-June"/>
        <s v="2019-May"/>
        <s v="2019-March"/>
        <s v="2019-February"/>
        <s v="2019-January"/>
        <s v="2018-December"/>
        <s v="2018-November"/>
        <s v="2018-October"/>
        <s v="2018-September"/>
        <s v="2018-August"/>
        <s v="2018-July"/>
        <s v="2018-June"/>
        <s v="2018-May"/>
        <s v="2018-April"/>
        <s v="2018-March"/>
        <s v="2018-February"/>
        <s v="2018-January"/>
        <s v="2017-December"/>
        <s v="2017-November"/>
        <s v="2017-October"/>
        <s v="2017-September"/>
        <s v="2017-August"/>
        <s v="2017-July"/>
        <s v="2017-June"/>
        <s v="2017-May"/>
        <s v="2017-April"/>
        <s v="2017-March"/>
        <s v="2017-February"/>
        <s v="2017-January"/>
        <s v="2016-December"/>
        <s v="2016-November"/>
        <s v="2016-October"/>
        <s v="2016-September"/>
        <s v="2016-August"/>
        <s v="2016-July"/>
        <s v="2016-June"/>
        <s v="2016-May"/>
        <s v="2016-April"/>
        <s v="2016-March"/>
        <s v="2016-February"/>
        <s v="2016-January"/>
        <s v="2015-December"/>
        <s v="2015-November"/>
        <s v="2015-October"/>
        <s v="2015-September"/>
        <s v="2015-August"/>
        <s v="2015-July"/>
        <s v="2015-June"/>
        <s v="2015-May"/>
        <s v="2015-April"/>
        <s v="2015-March"/>
        <s v="2015-February"/>
        <s v="2015-January"/>
        <s v="2014-December"/>
        <s v="2014-November"/>
        <s v="2014-October"/>
        <s v="2014-September"/>
        <s v="2014-August"/>
        <s v="2014-July"/>
        <s v="2014-June"/>
        <s v="2014-May"/>
        <s v="2014-April"/>
        <s v="2014-March"/>
        <s v="2014-February"/>
        <s v="2014-January"/>
        <s v="2013-December"/>
        <s v="2013-November "/>
        <s v="2013-November"/>
        <s v="2013-October"/>
        <s v="2013-September"/>
        <s v="2013-August"/>
        <s v="2013-July"/>
        <s v="2013-June"/>
        <s v="2013-May"/>
        <s v="2013-April"/>
        <s v="2013-March"/>
        <s v="2013-February"/>
        <s v="2013-January"/>
      </sharedItems>
    </cacheField>
    <cacheField name="Month_Num" numFmtId="0">
      <sharedItems containsSemiMixedTypes="0" containsString="0" containsNumber="1" containsInteger="1" minValue="1" maxValue="12"/>
    </cacheField>
    <cacheField name="Cereals and products" numFmtId="0">
      <sharedItems containsSemiMixedTypes="0" containsString="0" containsNumber="1" minValue="109.7" maxValue="174.5" count="342">
        <n v="173.8666667"/>
        <n v="174.2"/>
        <n v="173.7"/>
        <n v="173.96"/>
        <n v="174.04"/>
        <n v="173.85"/>
        <n v="174.3"/>
        <n v="173.9"/>
        <n v="174.46"/>
        <n v="174.5"/>
        <n v="174.22"/>
        <n v="174"/>
        <n v="174.08"/>
        <n v="174.28"/>
        <n v="171.1"/>
        <n v="172.1"/>
        <n v="172.9"/>
        <n v="168.34"/>
        <n v="168.8"/>
        <n v="169.92"/>
        <n v="166.32"/>
        <n v="166.86"/>
        <n v="167.34"/>
        <n v="164.48"/>
        <n v="164.94"/>
        <n v="165.34"/>
        <n v="161.94"/>
        <n v="162.74"/>
        <n v="163.26"/>
        <n v="158.52000000000001"/>
        <n v="159.54"/>
        <n v="160.26"/>
        <n v="156.16"/>
        <n v="156.69999999999999"/>
        <n v="157.1"/>
        <n v="155"/>
        <n v="155.41999999999999"/>
        <n v="155.12"/>
        <n v="153.94"/>
        <n v="154.4"/>
        <n v="154.08000000000001"/>
        <n v="152.47999999999999"/>
        <n v="153.02000000000001"/>
        <n v="152.86000000000001"/>
        <n v="151.04"/>
        <n v="151.54"/>
        <n v="151.4"/>
        <n v="150.26"/>
        <n v="150.6"/>
        <n v="150.19999999999999"/>
        <n v="149.63999999999999"/>
        <n v="150.06"/>
        <n v="149.5"/>
        <n v="149.02000000000001"/>
        <n v="149.38"/>
        <n v="148.84"/>
        <n v="148.30000000000001"/>
        <n v="148.72"/>
        <n v="148.18"/>
        <n v="147.5"/>
        <n v="147.9"/>
        <n v="147.41999999999999"/>
        <n v="147.1"/>
        <n v="147.44"/>
        <n v="146.80000000000001"/>
        <n v="146.96"/>
        <n v="147.26"/>
        <n v="146.52000000000001"/>
        <n v="147.13999999999999"/>
        <n v="147.30000000000001"/>
        <n v="146.44"/>
        <n v="147"/>
        <n v="147.32"/>
        <n v="146.58000000000001"/>
        <n v="145.69999999999999"/>
        <n v="146.41999999999999"/>
        <n v="146.02000000000001"/>
        <n v="144.88"/>
        <n v="145.24"/>
        <n v="144.76"/>
        <n v="144.94"/>
        <n v="145.19999999999999"/>
        <n v="144.22"/>
        <n v="145.34"/>
        <n v="145.52000000000001"/>
        <n v="144.41999999999999"/>
        <n v="146.19999999999999"/>
        <n v="146.26"/>
        <n v="145.02000000000001"/>
        <n v="147.22"/>
        <n v="145.96"/>
        <n v="147.84"/>
        <n v="148"/>
        <n v="148.68"/>
        <n v="148.80000000000001"/>
        <n v="147.58000000000001"/>
        <n v="149.30000000000001"/>
        <n v="149.46"/>
        <n v="148.34"/>
        <n v="149.94"/>
        <n v="150.08000000000001"/>
        <n v="148.91999999999999"/>
        <n v="150.28"/>
        <n v="150.56"/>
        <n v="149.54"/>
        <n v="150.44999999999999"/>
        <n v="150.16666670000001"/>
        <n v="149.67500000000001"/>
        <n v="149.2333333"/>
        <n v="150.25"/>
        <n v="148.44999999999999"/>
        <n v="147.86000000000001"/>
        <n v="148.19999999999999"/>
        <n v="145.22"/>
        <n v="145.4"/>
        <n v="145.6"/>
        <n v="144.80000000000001"/>
        <n v="144.78"/>
        <n v="144.1"/>
        <n v="144.4"/>
        <n v="144.26"/>
        <n v="143.22"/>
        <n v="143.56"/>
        <n v="143.47999999999999"/>
        <n v="142.44"/>
        <n v="142.74"/>
        <n v="142.6"/>
        <n v="141.63999999999999"/>
        <n v="141.97999999999999"/>
        <n v="141.80000000000001"/>
        <n v="140.84"/>
        <n v="141.18"/>
        <n v="140.96"/>
        <n v="140.08000000000001"/>
        <n v="140.41999999999999"/>
        <n v="140.16"/>
        <n v="139.4"/>
        <n v="139.69999999999999"/>
        <n v="138.91999999999999"/>
        <n v="139.18"/>
        <n v="138.78"/>
        <n v="138.44"/>
        <n v="138.72"/>
        <n v="138.34"/>
        <n v="138.08000000000001"/>
        <n v="138.28"/>
        <n v="137.88"/>
        <n v="137.63999999999999"/>
        <n v="137.84"/>
        <n v="137.56"/>
        <n v="137.6"/>
        <n v="137.26"/>
        <n v="137.72"/>
        <n v="137.41999999999999"/>
        <n v="137.9"/>
        <n v="137.52000000000001"/>
        <n v="138.38"/>
        <n v="137.97999999999999"/>
        <n v="138"/>
        <n v="137.96"/>
        <n v="138.52000000000001"/>
        <n v="137.44"/>
        <n v="138.18"/>
        <n v="136.76"/>
        <n v="136.74"/>
        <n v="136.38"/>
        <n v="136.28"/>
        <n v="136.96"/>
        <n v="136.18"/>
        <n v="136.08000000000001"/>
        <n v="136.6"/>
        <n v="136.02000000000001"/>
        <n v="135.94"/>
        <n v="136.41999999999999"/>
        <n v="135.78"/>
        <n v="135.74"/>
        <n v="136.19999999999999"/>
        <n v="135.68"/>
        <n v="135.54"/>
        <n v="135.97999999999999"/>
        <n v="135.56"/>
        <n v="135.47999999999999"/>
        <n v="135.88"/>
        <n v="135.41999999999999"/>
        <n v="135.32"/>
        <n v="135.13999999999999"/>
        <n v="135.1"/>
        <n v="135.6"/>
        <n v="134.66"/>
        <n v="134.68"/>
        <n v="135.22"/>
        <n v="134.22"/>
        <n v="134.19999999999999"/>
        <n v="134.74"/>
        <n v="133.68"/>
        <n v="133.74"/>
        <n v="133.30000000000001"/>
        <n v="133.32"/>
        <n v="133.69999999999999"/>
        <n v="133"/>
        <n v="133.04"/>
        <n v="132.91999999999999"/>
        <n v="132.86000000000001"/>
        <n v="133.02000000000001"/>
        <n v="133.1"/>
        <n v="132.97999999999999"/>
        <n v="133.06"/>
        <n v="133.18"/>
        <n v="132.84"/>
        <n v="133.12"/>
        <n v="132.36000000000001"/>
        <n v="132.4"/>
        <n v="132.74"/>
        <n v="131.56"/>
        <n v="131.62"/>
        <n v="132.19999999999999"/>
        <n v="130.54"/>
        <n v="130.56"/>
        <n v="131.34"/>
        <n v="129.76"/>
        <n v="129.69999999999999"/>
        <n v="130.47999999999999"/>
        <n v="129.18"/>
        <n v="129.13999999999999"/>
        <n v="129.88"/>
        <n v="128.46"/>
        <n v="129.26"/>
        <n v="127.66"/>
        <n v="127.64"/>
        <n v="128.47999999999999"/>
        <n v="126.78"/>
        <n v="126.8"/>
        <n v="126.3"/>
        <n v="126.18"/>
        <n v="126.92"/>
        <n v="126.04"/>
        <n v="126.6"/>
        <n v="126.08"/>
        <n v="125.96"/>
        <n v="126.48"/>
        <n v="125.9"/>
        <n v="125.82"/>
        <n v="126.34"/>
        <n v="125.56"/>
        <n v="125.52"/>
        <n v="125.22"/>
        <n v="125.14"/>
        <n v="125.7"/>
        <n v="124.86"/>
        <n v="124.82"/>
        <n v="125.36"/>
        <n v="124.46"/>
        <n v="124.44"/>
        <n v="124.98"/>
        <n v="124.1"/>
        <n v="124.08"/>
        <n v="124.58"/>
        <n v="123.74"/>
        <n v="123.78"/>
        <n v="124.16"/>
        <n v="123.76"/>
        <n v="123.68"/>
        <n v="123.9"/>
        <n v="123.72"/>
        <n v="123.8"/>
        <n v="123.84"/>
        <n v="123.58"/>
        <n v="123.64"/>
        <n v="123.7"/>
        <n v="123.62"/>
        <n v="123.52"/>
        <n v="123.56"/>
        <n v="123.28"/>
        <n v="123.48"/>
        <n v="123.36"/>
        <n v="123.38"/>
        <n v="123.42"/>
        <n v="123.14"/>
        <n v="123.66"/>
        <n v="123.22"/>
        <n v="123.32"/>
        <n v="123.5"/>
        <n v="123.2"/>
        <n v="123.16"/>
        <n v="122.94"/>
        <n v="122.9"/>
        <n v="123.1"/>
        <n v="122.8"/>
        <n v="122.16"/>
        <n v="122.5"/>
        <n v="122.24"/>
        <n v="121.58"/>
        <n v="121.82"/>
        <n v="121.62"/>
        <n v="121.32"/>
        <n v="121.5"/>
        <n v="121.14"/>
        <n v="121.12"/>
        <n v="121.28"/>
        <n v="120.92"/>
        <n v="120.74"/>
        <n v="121"/>
        <n v="120.66"/>
        <n v="120.2"/>
        <n v="120.46"/>
        <n v="120.24"/>
        <n v="119.62"/>
        <n v="119.86"/>
        <n v="119.64"/>
        <n v="118.82"/>
        <n v="119.18"/>
        <n v="119"/>
        <n v="117.88"/>
        <n v="118.24"/>
        <n v="118.14"/>
        <n v="117.12"/>
        <n v="117.46"/>
        <n v="117.2"/>
        <n v="116.44"/>
        <n v="116.86"/>
        <n v="116.46"/>
        <n v="115.72"/>
        <n v="116.16"/>
        <n v="115.68"/>
        <n v="114.86"/>
        <n v="115.36"/>
        <n v="114.82"/>
        <n v="113.58"/>
        <n v="114.16"/>
        <n v="113.76"/>
        <n v="112.54"/>
        <n v="112.96"/>
        <n v="112.5"/>
        <n v="112.06"/>
        <n v="112.34"/>
        <n v="111.74"/>
        <n v="111.32"/>
        <n v="111.76"/>
        <n v="111.22"/>
        <n v="109.7"/>
        <n v="110.28"/>
        <n v="110.22"/>
      </sharedItems>
    </cacheField>
    <cacheField name="Meat and fish" numFmtId="0">
      <sharedItems containsSemiMixedTypes="0" containsString="0" containsNumber="1" minValue="108.86" maxValue="219.64"/>
    </cacheField>
    <cacheField name="Egg" numFmtId="0">
      <sharedItems containsSemiMixedTypes="0" containsString="0" containsNumber="1" minValue="105.18" maxValue="193.3"/>
    </cacheField>
    <cacheField name="Milk and products" numFmtId="0">
      <sharedItems containsSemiMixedTypes="0" containsString="0" containsNumber="1" minValue="104.46" maxValue="179.5"/>
    </cacheField>
    <cacheField name="Oils and fats" numFmtId="0">
      <sharedItems containsSemiMixedTypes="0" containsString="0" containsNumber="1" minValue="103.36" maxValue="201.88"/>
    </cacheField>
    <cacheField name="Fruits" numFmtId="0">
      <sharedItems containsSemiMixedTypes="0" containsString="0" containsNumber="1" minValue="103.24" maxValue="174.8"/>
    </cacheField>
    <cacheField name="Vegetables" numFmtId="0">
      <sharedItems containsSemiMixedTypes="0" containsString="0" containsNumber="1" minValue="102.8" maxValue="234.38"/>
    </cacheField>
    <cacheField name="Pulses and products" numFmtId="0">
      <sharedItems containsSemiMixedTypes="0" containsString="0" containsNumber="1" minValue="104.72" maxValue="179.26"/>
    </cacheField>
    <cacheField name="Sugar and Confectionery" numFmtId="0">
      <sharedItems containsSemiMixedTypes="0" containsString="0" containsNumber="1" minValue="89" maxValue="123.45"/>
    </cacheField>
    <cacheField name="Spices" numFmtId="0">
      <sharedItems containsSemiMixedTypes="0" containsString="0" containsNumber="1" minValue="102.54" maxValue="218"/>
    </cacheField>
    <cacheField name="Non-alcoholic beverages" numFmtId="0">
      <sharedItems containsSemiMixedTypes="0" containsString="0" containsNumber="1" minValue="105.17999999999999" maxValue="173.51999999999998"/>
    </cacheField>
    <cacheField name="Prepared meals, scks, sweets etc." numFmtId="0">
      <sharedItems containsSemiMixedTypes="0" containsString="0" containsNumber="1" minValue="107.72" maxValue="195.95"/>
    </cacheField>
    <cacheField name="Food and beverages" numFmtId="0">
      <sharedItems containsSemiMixedTypes="0" containsString="0" containsNumber="1" minValue="106.1" maxValue="181.1"/>
    </cacheField>
    <cacheField name="Pan, tobacco and intoxicants" numFmtId="0">
      <sharedItems containsSemiMixedTypes="0" containsString="0" containsNumber="1" minValue="105.4" maxValue="202.6"/>
    </cacheField>
    <cacheField name="Clothing" numFmtId="0">
      <sharedItems containsSemiMixedTypes="0" containsString="0" containsNumber="1" minValue="106.47999999999999" maxValue="187.3"/>
    </cacheField>
    <cacheField name="Footwear" numFmtId="0">
      <sharedItems containsSemiMixedTypes="0" containsString="0" containsNumber="1" minValue="105.62" maxValue="180.16000000000003"/>
    </cacheField>
    <cacheField name="Clothing and footwear" numFmtId="0">
      <sharedItems containsSemiMixedTypes="0" containsString="0" containsNumber="1" minValue="106.35999999999999" maxValue="186.2"/>
    </cacheField>
    <cacheField name="Housing" numFmtId="0">
      <sharedItems containsSemiMixedTypes="0" containsString="0" containsNumber="1" minValue="100.33333333333333" maxValue="175.6"/>
    </cacheField>
    <cacheField name="Fuel and light" numFmtId="0">
      <sharedItems containsSemiMixedTypes="0" containsString="0" containsNumber="1" minValue="105.66" maxValue="183.10000000000002"/>
    </cacheField>
    <cacheField name="Household goods and services" numFmtId="0">
      <sharedItems containsSemiMixedTypes="0" containsString="0" containsNumber="1" minValue="104.96" maxValue="175.45999999999998"/>
    </cacheField>
    <cacheField name="Health" numFmtId="0">
      <sharedItems containsSemiMixedTypes="0" containsString="0" containsNumber="1" minValue="104.24000000000001" maxValue="185.7"/>
    </cacheField>
    <cacheField name="Transport and communication" numFmtId="0">
      <sharedItems containsSemiMixedTypes="0" containsString="0" containsNumber="1" minValue="103.6" maxValue="165.58"/>
    </cacheField>
    <cacheField name="Recreation and amusement" numFmtId="0">
      <sharedItems containsSemiMixedTypes="0" containsString="0" containsNumber="1" minValue="103.33999999999999" maxValue="171.4"/>
    </cacheField>
    <cacheField name="Education" numFmtId="0">
      <sharedItems containsSemiMixedTypes="0" containsString="0" containsNumber="1" minValue="103.74000000000001" maxValue="177.4"/>
    </cacheField>
    <cacheField name="Persol care and effects" numFmtId="0">
      <sharedItems containsSemiMixedTypes="0" containsString="0" containsNumber="1" minValue="102.48000000000002" maxValue="185.39999999999998"/>
    </cacheField>
    <cacheField name="Miscellaneous" numFmtId="0">
      <sharedItems containsSemiMixedTypes="0" containsString="0" containsNumber="1" minValue="104.05999999999999" maxValue="175.7"/>
    </cacheField>
    <cacheField name="General index" numFmtId="0">
      <sharedItems containsSemiMixedTypes="0" containsString="0" containsNumber="1" minValue="104.84" maxValue="179.1"/>
    </cacheField>
    <cacheField name="Food and Beverages2" numFmtId="0">
      <sharedItems containsSemiMixedTypes="0" containsString="0" containsNumber="1" minValue="1378.48" maxValue="2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x v="0"/>
    <n v="5"/>
    <x v="0"/>
    <n v="215.06666670000001"/>
    <n v="173.6333333"/>
    <n v="179.5"/>
    <n v="169.2333333"/>
    <n v="172.33333329999999"/>
    <n v="164.9"/>
    <n v="175.8"/>
    <n v="122.9333333"/>
    <n v="216.96666666666667"/>
    <n v="172.66666666666666"/>
    <n v="194.33333333333334"/>
    <n v="179.66666666666666"/>
    <n v="201.70000000000002"/>
    <n v="186.6"/>
    <n v="178.56666666666669"/>
    <n v="185.43333333333331"/>
    <n v="175.6"/>
    <n v="182.9"/>
    <n v="175.0333333333333"/>
    <n v="185.23333333333335"/>
    <n v="164.96666666666667"/>
    <n v="171.4"/>
    <n v="177.4"/>
    <n v="185.23333333333335"/>
    <n v="175.6"/>
    <n v="179.03333333333333"/>
    <n v="2310.8999999333332"/>
  </r>
  <r>
    <x v="1"/>
    <x v="0"/>
    <x v="0"/>
    <x v="0"/>
    <n v="5"/>
    <x v="1"/>
    <n v="216.85"/>
    <n v="174.95"/>
    <n v="179.45"/>
    <n v="167.2"/>
    <n v="174"/>
    <n v="173"/>
    <n v="176.25"/>
    <n v="123.45"/>
    <n v="214.95"/>
    <n v="169.65"/>
    <n v="195.95"/>
    <n v="181.1"/>
    <n v="202.6"/>
    <n v="184.3"/>
    <n v="173.89999999999998"/>
    <n v="182.75"/>
    <n v="175.6"/>
    <n v="183.10000000000002"/>
    <n v="172.64999999999998"/>
    <n v="183.95"/>
    <n v="162.60000000000002"/>
    <n v="170.2"/>
    <n v="175.95"/>
    <n v="185.39999999999998"/>
    <n v="173.64999999999998"/>
    <n v="178.64999999999998"/>
    <n v="2321"/>
  </r>
  <r>
    <x v="2"/>
    <x v="0"/>
    <x v="0"/>
    <x v="0"/>
    <n v="5"/>
    <x v="2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2306.9"/>
  </r>
  <r>
    <x v="0"/>
    <x v="0"/>
    <x v="1"/>
    <x v="1"/>
    <n v="4"/>
    <x v="3"/>
    <n v="212.16"/>
    <n v="171.52"/>
    <n v="178.88"/>
    <n v="171.96"/>
    <n v="174.8"/>
    <n v="162.36000000000001"/>
    <n v="174.54"/>
    <n v="122.18"/>
    <n v="213.82000000000002"/>
    <n v="172.23999999999998"/>
    <n v="193.95999999999998"/>
    <n v="179.07999999999998"/>
    <n v="201.54000000000002"/>
    <n v="186.21999999999997"/>
    <n v="178.04000000000002"/>
    <n v="184.97999999999996"/>
    <n v="175.33333333333334"/>
    <n v="182.23999999999998"/>
    <n v="174.64"/>
    <n v="184.74"/>
    <n v="164.82"/>
    <n v="171.14000000000001"/>
    <n v="177.01999999999998"/>
    <n v="184.54000000000002"/>
    <n v="175.18"/>
    <n v="178.46000000000004"/>
    <n v="2301.4599999999996"/>
  </r>
  <r>
    <x v="1"/>
    <x v="0"/>
    <x v="1"/>
    <x v="1"/>
    <n v="4"/>
    <x v="4"/>
    <n v="213.64"/>
    <n v="172.58"/>
    <n v="179.14"/>
    <n v="170.26"/>
    <n v="174.5"/>
    <n v="166"/>
    <n v="175.1"/>
    <n v="122.64"/>
    <n v="214.32"/>
    <n v="171.27999999999997"/>
    <n v="194.7"/>
    <n v="179.8"/>
    <n v="201.84"/>
    <n v="185.53999999999996"/>
    <n v="176.51999999999998"/>
    <n v="184.18"/>
    <n v="175.4"/>
    <n v="182.5"/>
    <n v="173.85999999999999"/>
    <n v="184.44"/>
    <n v="163.9"/>
    <n v="170.74"/>
    <n v="176.56"/>
    <n v="184.82"/>
    <n v="174.54000000000002"/>
    <n v="178.52"/>
    <n v="2308"/>
  </r>
  <r>
    <x v="2"/>
    <x v="0"/>
    <x v="1"/>
    <x v="1"/>
    <n v="4"/>
    <x v="5"/>
    <n v="213.625"/>
    <n v="172.625"/>
    <n v="179.22499999999999"/>
    <n v="170.65"/>
    <n v="173.32499999999999"/>
    <n v="162.52500000000001"/>
    <n v="175.2"/>
    <n v="122.52500000000001"/>
    <n v="215.95"/>
    <n v="172.72499999999999"/>
    <n v="194.125"/>
    <n v="179.22500000000002"/>
    <n v="201.42500000000001"/>
    <n v="186.67500000000001"/>
    <n v="178.72500000000002"/>
    <n v="185.5"/>
    <n v="175.46666666666667"/>
    <n v="182.60000000000002"/>
    <n v="174.92500000000001"/>
    <n v="185.17500000000001"/>
    <n v="164.85000000000002"/>
    <n v="171.22500000000002"/>
    <n v="177.15"/>
    <n v="184.92500000000001"/>
    <n v="175.45"/>
    <n v="178.79999999999998"/>
    <n v="2305.5750000000003"/>
  </r>
  <r>
    <x v="0"/>
    <x v="0"/>
    <x v="2"/>
    <x v="2"/>
    <n v="3"/>
    <x v="6"/>
    <n v="209.14"/>
    <n v="173.32"/>
    <n v="177.84"/>
    <n v="176.38"/>
    <n v="172.34"/>
    <n v="158.46"/>
    <n v="172.26"/>
    <n v="120.9"/>
    <n v="209.97999999999996"/>
    <n v="171.7"/>
    <n v="193.4"/>
    <n v="178.04000000000002"/>
    <n v="200.72"/>
    <n v="185.6"/>
    <n v="177.54000000000002"/>
    <n v="184.39999999999998"/>
    <n v="174.06666666666669"/>
    <n v="181.9"/>
    <n v="174.14000000000001"/>
    <n v="184.1"/>
    <n v="164.5"/>
    <n v="170.7"/>
    <n v="175.92"/>
    <n v="182.28"/>
    <n v="174.35999999999999"/>
    <n v="177.54"/>
    <n v="2288.06"/>
  </r>
  <r>
    <x v="1"/>
    <x v="0"/>
    <x v="2"/>
    <x v="2"/>
    <n v="3"/>
    <x v="1"/>
    <n v="209.96"/>
    <n v="172.46"/>
    <n v="178.12"/>
    <n v="174.7"/>
    <n v="174.16"/>
    <n v="161.36000000000001"/>
    <n v="172.84"/>
    <n v="121.34"/>
    <n v="210.14000000000001"/>
    <n v="170.76000000000002"/>
    <n v="194.12"/>
    <n v="178.66"/>
    <n v="201.16000000000003"/>
    <n v="184.98"/>
    <n v="175.98000000000002"/>
    <n v="183.61999999999998"/>
    <n v="174.35000000000002"/>
    <n v="181.95999999999998"/>
    <n v="173.34"/>
    <n v="183.78000000000003"/>
    <n v="163.6"/>
    <n v="170.28000000000003"/>
    <n v="175.49999999999997"/>
    <n v="182.94"/>
    <n v="173.78"/>
    <n v="177.56"/>
    <n v="2292.8199999999997"/>
  </r>
  <r>
    <x v="2"/>
    <x v="0"/>
    <x v="2"/>
    <x v="2"/>
    <n v="3"/>
    <x v="7"/>
    <n v="209.82"/>
    <n v="171.22"/>
    <n v="178.46"/>
    <n v="174.92"/>
    <n v="173.54"/>
    <n v="155.91999999999999"/>
    <n v="173.38"/>
    <n v="121.34"/>
    <n v="213.38000000000002"/>
    <n v="173.51999999999998"/>
    <n v="193.02"/>
    <n v="177.85999999999999"/>
    <n v="200.6"/>
    <n v="187.17999999999998"/>
    <n v="180.16000000000003"/>
    <n v="186.13999999999996"/>
    <n v="174.63333333333333"/>
    <n v="181.94"/>
    <n v="175.45999999999998"/>
    <n v="185.18"/>
    <n v="165.58"/>
    <n v="171.35999999999999"/>
    <n v="177.06"/>
    <n v="183.62"/>
    <n v="175.68"/>
    <n v="178.26"/>
    <n v="2290.2800000000007"/>
  </r>
  <r>
    <x v="0"/>
    <x v="0"/>
    <x v="3"/>
    <x v="3"/>
    <n v="2"/>
    <x v="8"/>
    <n v="208.5"/>
    <n v="175.48"/>
    <n v="177.42"/>
    <n v="178.08"/>
    <n v="169.62"/>
    <n v="157.24"/>
    <n v="171.26"/>
    <n v="120.4"/>
    <n v="208.7"/>
    <n v="171.45999999999998"/>
    <n v="193.2"/>
    <n v="177.61999999999998"/>
    <n v="200.32"/>
    <n v="185.34"/>
    <n v="177.34"/>
    <n v="184.14000000000001"/>
    <n v="173.5"/>
    <n v="182.1"/>
    <n v="173.95999999999998"/>
    <n v="183.84"/>
    <n v="164.35999999999999"/>
    <n v="170.54000000000002"/>
    <n v="175.4"/>
    <n v="181.06"/>
    <n v="173.98"/>
    <n v="177.16"/>
    <n v="2283.44"/>
  </r>
  <r>
    <x v="1"/>
    <x v="0"/>
    <x v="3"/>
    <x v="3"/>
    <n v="2"/>
    <x v="9"/>
    <n v="209"/>
    <n v="175.74"/>
    <n v="177.48"/>
    <n v="177.24"/>
    <n v="170.08"/>
    <n v="159.62"/>
    <n v="171.4"/>
    <n v="120.58"/>
    <n v="208.22000000000003"/>
    <n v="170.4"/>
    <n v="193.82"/>
    <n v="178.06"/>
    <n v="200.56"/>
    <n v="184.56"/>
    <n v="175.68"/>
    <n v="183.23999999999998"/>
    <n v="173.5"/>
    <n v="182.16"/>
    <n v="173.08"/>
    <n v="183.40000000000003"/>
    <n v="163.4"/>
    <n v="170.04000000000002"/>
    <n v="174.7"/>
    <n v="181.11999999999998"/>
    <n v="173.22"/>
    <n v="177"/>
    <n v="2286.14"/>
  </r>
  <r>
    <x v="2"/>
    <x v="0"/>
    <x v="3"/>
    <x v="3"/>
    <n v="2"/>
    <x v="10"/>
    <n v="207.94"/>
    <n v="173.88"/>
    <n v="177.54"/>
    <n v="178.5"/>
    <n v="170.4"/>
    <n v="153.02000000000001"/>
    <n v="171.52"/>
    <n v="120.28"/>
    <n v="210.35999999999999"/>
    <n v="173.06"/>
    <n v="192.6"/>
    <n v="177.02"/>
    <n v="199.92"/>
    <n v="186.64000000000001"/>
    <n v="179.74"/>
    <n v="185.64000000000001"/>
    <n v="173.5"/>
    <n v="181.9"/>
    <n v="175.06"/>
    <n v="184.67999999999998"/>
    <n v="165.32"/>
    <n v="171"/>
    <n v="176.07999999999998"/>
    <n v="181.6"/>
    <n v="175"/>
    <n v="177.5"/>
    <n v="2280.3399999999997"/>
  </r>
  <r>
    <x v="0"/>
    <x v="0"/>
    <x v="4"/>
    <x v="4"/>
    <n v="1"/>
    <x v="11"/>
    <n v="210.32"/>
    <n v="187.1"/>
    <n v="175.8"/>
    <n v="182.68"/>
    <n v="162.88"/>
    <n v="157.76"/>
    <n v="171.08"/>
    <n v="121.02"/>
    <n v="208.02000000000004"/>
    <n v="170.9"/>
    <n v="192.1"/>
    <n v="177.34"/>
    <n v="199.54000000000002"/>
    <n v="184.58"/>
    <n v="176.64000000000001"/>
    <n v="183.35999999999999"/>
    <n v="172.56666666666669"/>
    <n v="181.94"/>
    <n v="173.18"/>
    <n v="182.58"/>
    <n v="164.01999999999998"/>
    <n v="170.06"/>
    <n v="174.98000000000002"/>
    <n v="179.57999999999998"/>
    <n v="173.22"/>
    <n v="176.7"/>
    <n v="2291.0000000000005"/>
  </r>
  <r>
    <x v="1"/>
    <x v="0"/>
    <x v="4"/>
    <x v="4"/>
    <n v="1"/>
    <x v="12"/>
    <n v="210.2"/>
    <n v="183.56"/>
    <n v="176.4"/>
    <n v="180.02"/>
    <n v="165.52"/>
    <n v="159.72"/>
    <n v="171.14"/>
    <n v="120.96"/>
    <n v="207.86000000000004"/>
    <n v="169.98000000000002"/>
    <n v="193"/>
    <n v="177.74"/>
    <n v="200.06"/>
    <n v="184.02000000000004"/>
    <n v="175.11999999999998"/>
    <n v="182.66000000000003"/>
    <n v="172.8"/>
    <n v="181.72"/>
    <n v="172.58"/>
    <n v="182.52"/>
    <n v="163.22000000000003"/>
    <n v="169.76"/>
    <n v="174.42000000000002"/>
    <n v="180.09999999999997"/>
    <n v="172.74"/>
    <n v="176.58"/>
    <n v="2290.1800000000003"/>
  </r>
  <r>
    <x v="2"/>
    <x v="0"/>
    <x v="4"/>
    <x v="4"/>
    <n v="1"/>
    <x v="13"/>
    <n v="208.2"/>
    <n v="178.94"/>
    <n v="176.76"/>
    <n v="181.08"/>
    <n v="166.86"/>
    <n v="152.84"/>
    <n v="171"/>
    <n v="120.24"/>
    <n v="209.42"/>
    <n v="172.76000000000002"/>
    <n v="192.12"/>
    <n v="176.8"/>
    <n v="199.42000000000002"/>
    <n v="186.28000000000003"/>
    <n v="179.45999999999998"/>
    <n v="185.26"/>
    <n v="173.03333333333333"/>
    <n v="181.98000000000002"/>
    <n v="174.70000000000002"/>
    <n v="184.14000000000001"/>
    <n v="165.12"/>
    <n v="170.76"/>
    <n v="175.76"/>
    <n v="180.47999999999996"/>
    <n v="174.54000000000002"/>
    <n v="177.2"/>
    <n v="2281.3000000000002"/>
  </r>
  <r>
    <x v="0"/>
    <x v="1"/>
    <x v="5"/>
    <x v="5"/>
    <n v="12"/>
    <x v="14"/>
    <n v="210.46"/>
    <n v="192.22"/>
    <n v="174.08"/>
    <n v="186.42"/>
    <n v="158.19999999999999"/>
    <n v="161.4"/>
    <n v="170.9"/>
    <n v="121.82"/>
    <n v="205.6"/>
    <n v="170.24"/>
    <n v="190.82"/>
    <n v="176.68"/>
    <n v="198.56"/>
    <n v="183.5"/>
    <n v="175.8"/>
    <n v="182.34"/>
    <n v="171.16666666666666"/>
    <n v="181.73999999999998"/>
    <n v="172.2"/>
    <n v="181"/>
    <n v="163.66"/>
    <n v="169.35999999999999"/>
    <n v="174.56"/>
    <n v="176.94"/>
    <n v="172.22"/>
    <n v="175.92000000000002"/>
    <n v="2289.94"/>
  </r>
  <r>
    <x v="1"/>
    <x v="1"/>
    <x v="5"/>
    <x v="5"/>
    <n v="12"/>
    <x v="15"/>
    <n v="211.22"/>
    <n v="193.3"/>
    <n v="174.32"/>
    <n v="185.08"/>
    <n v="158.52000000000001"/>
    <n v="162.13999999999999"/>
    <n v="170.98"/>
    <n v="121.8"/>
    <n v="205.78000000000003"/>
    <n v="169.16000000000003"/>
    <n v="191.52000000000004"/>
    <n v="177.14000000000001"/>
    <n v="199.01999999999998"/>
    <n v="182.86"/>
    <n v="174.14"/>
    <n v="181.54000000000002"/>
    <n v="171.4"/>
    <n v="181.57999999999998"/>
    <n v="171.49999999999997"/>
    <n v="180.76"/>
    <n v="162.82"/>
    <n v="169.02"/>
    <n v="173.95999999999998"/>
    <n v="177.52"/>
    <n v="171.68"/>
    <n v="175.79999999999998"/>
    <n v="2293.0600000000004"/>
  </r>
  <r>
    <x v="2"/>
    <x v="1"/>
    <x v="5"/>
    <x v="5"/>
    <n v="12"/>
    <x v="16"/>
    <n v="209.68"/>
    <n v="189.7"/>
    <n v="174.94"/>
    <n v="185.94"/>
    <n v="160.06"/>
    <n v="154.58000000000001"/>
    <n v="170.8"/>
    <n v="121"/>
    <n v="208.1"/>
    <n v="172.12"/>
    <n v="190.83999999999997"/>
    <n v="176.37999999999997"/>
    <n v="198.45999999999998"/>
    <n v="185.32"/>
    <n v="178.64000000000001"/>
    <n v="184.32"/>
    <n v="171.63333333333333"/>
    <n v="181.78"/>
    <n v="173.76"/>
    <n v="182.64"/>
    <n v="164.74"/>
    <n v="170.16"/>
    <n v="175.3"/>
    <n v="178.45999999999998"/>
    <n v="173.62"/>
    <n v="176.57999999999998"/>
    <n v="2287.04"/>
  </r>
  <r>
    <x v="0"/>
    <x v="1"/>
    <x v="6"/>
    <x v="6"/>
    <n v="11"/>
    <x v="17"/>
    <n v="209.96"/>
    <n v="185.16"/>
    <n v="172.84"/>
    <n v="187.18"/>
    <n v="159.72"/>
    <n v="177.82"/>
    <n v="170.7"/>
    <n v="122.26"/>
    <n v="202.88000000000002"/>
    <n v="169.7"/>
    <n v="189.95999999999998"/>
    <n v="177.84"/>
    <n v="198"/>
    <n v="182.56"/>
    <n v="175.06"/>
    <n v="181.44"/>
    <n v="171.43333333333331"/>
    <n v="181.38"/>
    <n v="171.5"/>
    <n v="179.72000000000003"/>
    <n v="163.32"/>
    <n v="168.86"/>
    <n v="174.23999999999995"/>
    <n v="174.5"/>
    <n v="171.35999999999999"/>
    <n v="175.92000000000002"/>
    <n v="2294.36"/>
  </r>
  <r>
    <x v="1"/>
    <x v="1"/>
    <x v="6"/>
    <x v="6"/>
    <n v="11"/>
    <x v="18"/>
    <n v="210.32"/>
    <n v="187.16"/>
    <n v="173.1"/>
    <n v="186.08"/>
    <n v="159.5"/>
    <n v="175.48"/>
    <n v="170.82"/>
    <n v="122.32"/>
    <n v="202.95999999999998"/>
    <n v="168.62"/>
    <n v="190.63999999999996"/>
    <n v="177.7"/>
    <n v="198.35999999999999"/>
    <n v="181.92"/>
    <n v="173.42000000000002"/>
    <n v="180.66"/>
    <n v="171.25"/>
    <n v="181.40000000000003"/>
    <n v="170.82"/>
    <n v="179.48"/>
    <n v="162.5"/>
    <n v="168.48"/>
    <n v="173.68"/>
    <n v="174.97999999999996"/>
    <n v="170.84"/>
    <n v="175.5"/>
    <n v="2293.4999999999995"/>
  </r>
  <r>
    <x v="2"/>
    <x v="1"/>
    <x v="6"/>
    <x v="6"/>
    <n v="11"/>
    <x v="19"/>
    <n v="209.3"/>
    <n v="189.1"/>
    <n v="173.5"/>
    <n v="188.6"/>
    <n v="158.24"/>
    <n v="162.96"/>
    <n v="170.76"/>
    <n v="121.7"/>
    <n v="205.3"/>
    <n v="171.57999999999998"/>
    <n v="189.85999999999999"/>
    <n v="176.44"/>
    <n v="197.62"/>
    <n v="184.38"/>
    <n v="177.98000000000002"/>
    <n v="183.44"/>
    <n v="171.06666666666669"/>
    <n v="181.98000000000002"/>
    <n v="172.88000000000002"/>
    <n v="181.26"/>
    <n v="164.35999999999999"/>
    <n v="169.5"/>
    <n v="174.94"/>
    <n v="175.89999999999998"/>
    <n v="172.66"/>
    <n v="176.24"/>
    <n v="2287.2600000000002"/>
  </r>
  <r>
    <x v="0"/>
    <x v="1"/>
    <x v="7"/>
    <x v="7"/>
    <n v="10"/>
    <x v="20"/>
    <n v="211.04"/>
    <n v="175.3"/>
    <n v="171.48"/>
    <n v="185.96"/>
    <n v="162.68"/>
    <n v="198.04"/>
    <n v="170.12"/>
    <n v="122.26"/>
    <n v="200.3"/>
    <n v="169.16"/>
    <n v="188.94"/>
    <n v="179.64000000000001"/>
    <n v="197.48"/>
    <n v="181.48000000000002"/>
    <n v="174.2"/>
    <n v="180.42"/>
    <n v="171.4"/>
    <n v="180.7"/>
    <n v="170.64"/>
    <n v="178.53999999999996"/>
    <n v="163.1"/>
    <n v="168.51999999999998"/>
    <n v="173.9"/>
    <n v="172.71999999999997"/>
    <n v="170.64000000000001"/>
    <n v="176.36"/>
    <n v="2301.2399999999998"/>
  </r>
  <r>
    <x v="1"/>
    <x v="1"/>
    <x v="7"/>
    <x v="7"/>
    <n v="10"/>
    <x v="21"/>
    <n v="211.16"/>
    <n v="177.52"/>
    <n v="171.76"/>
    <n v="185.42"/>
    <n v="162.38"/>
    <n v="197.7"/>
    <n v="170.28"/>
    <n v="122.46"/>
    <n v="200.54000000000002"/>
    <n v="168.07999999999998"/>
    <n v="189.72"/>
    <n v="179.82"/>
    <n v="197.88"/>
    <n v="180.88"/>
    <n v="172.56"/>
    <n v="179.66000000000003"/>
    <n v="171.5"/>
    <n v="180.8"/>
    <n v="170.04"/>
    <n v="178.26"/>
    <n v="162.22"/>
    <n v="168.1"/>
    <n v="173.34"/>
    <n v="173.04"/>
    <n v="170.07999999999998"/>
    <n v="176.07999999999998"/>
    <n v="2303.6999999999998"/>
  </r>
  <r>
    <x v="2"/>
    <x v="1"/>
    <x v="7"/>
    <x v="7"/>
    <n v="10"/>
    <x v="22"/>
    <n v="209.56"/>
    <n v="180.96"/>
    <n v="172.24"/>
    <n v="188.66"/>
    <n v="160.58000000000001"/>
    <n v="182.02"/>
    <n v="170.4"/>
    <n v="122.02"/>
    <n v="202.76"/>
    <n v="171.11999999999998"/>
    <n v="188.95999999999998"/>
    <n v="178.04"/>
    <n v="197.04"/>
    <n v="183.4"/>
    <n v="177.22"/>
    <n v="182.5"/>
    <n v="171.6"/>
    <n v="181.35999999999999"/>
    <n v="172.11999999999998"/>
    <n v="180.01999999999998"/>
    <n v="164.01999999999998"/>
    <n v="169.08"/>
    <n v="174.56"/>
    <n v="173.71999999999997"/>
    <n v="171.82"/>
    <n v="176.44"/>
    <n v="2294.66"/>
  </r>
  <r>
    <x v="0"/>
    <x v="1"/>
    <x v="8"/>
    <x v="8"/>
    <n v="9"/>
    <x v="23"/>
    <n v="210.66"/>
    <n v="170.36"/>
    <n v="170.24"/>
    <n v="186.28"/>
    <n v="165.04"/>
    <n v="200.58"/>
    <n v="169.38"/>
    <n v="122"/>
    <n v="197.6"/>
    <n v="168.66000000000003"/>
    <n v="187.94"/>
    <n v="179.16"/>
    <n v="197.02"/>
    <n v="180.44"/>
    <n v="173.26"/>
    <n v="179.38"/>
    <n v="170.06666666666666"/>
    <n v="179.84"/>
    <n v="169.7"/>
    <n v="177.54000000000002"/>
    <n v="162.72000000000003"/>
    <n v="168.06"/>
    <n v="173.58"/>
    <n v="171.42"/>
    <n v="169.92"/>
    <n v="175.8"/>
    <n v="2292.3799999999997"/>
  </r>
  <r>
    <x v="1"/>
    <x v="1"/>
    <x v="8"/>
    <x v="8"/>
    <n v="9"/>
    <x v="24"/>
    <n v="211.5"/>
    <n v="170.74"/>
    <n v="170.52"/>
    <n v="184.76"/>
    <n v="164.98"/>
    <n v="205.14"/>
    <n v="169.54"/>
    <n v="122.22"/>
    <n v="197.76"/>
    <n v="167.56"/>
    <n v="188.64000000000001"/>
    <n v="179.98"/>
    <n v="197.38000000000002"/>
    <n v="179.88"/>
    <n v="171.66"/>
    <n v="178.68"/>
    <n v="170.35"/>
    <n v="180"/>
    <n v="169.06"/>
    <n v="177.24"/>
    <n v="161.92000000000002"/>
    <n v="167.7"/>
    <n v="173.02"/>
    <n v="171.68"/>
    <n v="169.4"/>
    <n v="175.85999999999999"/>
    <n v="2298.2799999999997"/>
  </r>
  <r>
    <x v="2"/>
    <x v="1"/>
    <x v="8"/>
    <x v="8"/>
    <n v="9"/>
    <x v="25"/>
    <n v="210.2"/>
    <n v="172.6"/>
    <n v="170.96"/>
    <n v="187.7"/>
    <n v="163.30000000000001"/>
    <n v="195.3"/>
    <n v="169.74"/>
    <n v="121.9"/>
    <n v="200"/>
    <n v="170.62"/>
    <n v="187.94"/>
    <n v="178.94"/>
    <n v="196.54000000000002"/>
    <n v="182.32"/>
    <n v="176.36000000000004"/>
    <n v="181.45999999999998"/>
    <n v="170.63333333333333"/>
    <n v="180.54"/>
    <n v="171.16"/>
    <n v="178.94"/>
    <n v="163.78000000000003"/>
    <n v="168.7"/>
    <n v="174.21999999999997"/>
    <n v="172.14000000000001"/>
    <n v="171.10000000000002"/>
    <n v="176.6"/>
    <n v="2294.54"/>
  </r>
  <r>
    <x v="0"/>
    <x v="1"/>
    <x v="9"/>
    <x v="9"/>
    <n v="8"/>
    <x v="26"/>
    <n v="208.38"/>
    <n v="169.6"/>
    <n v="168.8"/>
    <n v="189.28"/>
    <n v="170.16"/>
    <n v="194.12"/>
    <n v="167.96"/>
    <n v="121.44"/>
    <n v="194.32"/>
    <n v="168.12"/>
    <n v="186.88"/>
    <n v="177.58"/>
    <n v="196.32"/>
    <n v="179.21999999999997"/>
    <n v="171.88000000000002"/>
    <n v="178.12"/>
    <n v="169.16666666666666"/>
    <n v="179.04000000000002"/>
    <n v="168.72"/>
    <n v="176.56"/>
    <n v="162.26"/>
    <n v="167.42"/>
    <n v="173.00000000000003"/>
    <n v="171.12"/>
    <n v="169.26000000000002"/>
    <n v="174.64000000000001"/>
    <n v="2278.5800000000004"/>
  </r>
  <r>
    <x v="1"/>
    <x v="1"/>
    <x v="9"/>
    <x v="9"/>
    <n v="8"/>
    <x v="27"/>
    <n v="209.4"/>
    <n v="169.88"/>
    <n v="169.16"/>
    <n v="187.4"/>
    <n v="169.46"/>
    <n v="197.86"/>
    <n v="168.36"/>
    <n v="121.72"/>
    <n v="194.66"/>
    <n v="167.04000000000002"/>
    <n v="187.56"/>
    <n v="178.35999999999999"/>
    <n v="196.76000000000002"/>
    <n v="178.76"/>
    <n v="170.4"/>
    <n v="177.5"/>
    <n v="169.25"/>
    <n v="179.12000000000003"/>
    <n v="168.16"/>
    <n v="176.23999999999995"/>
    <n v="161.4"/>
    <n v="167.07999999999998"/>
    <n v="172.48000000000002"/>
    <n v="171.08"/>
    <n v="168.68"/>
    <n v="174.64000000000001"/>
    <n v="2283.6000000000004"/>
  </r>
  <r>
    <x v="2"/>
    <x v="1"/>
    <x v="9"/>
    <x v="9"/>
    <n v="8"/>
    <x v="28"/>
    <n v="208.98"/>
    <n v="169.82"/>
    <n v="169.66"/>
    <n v="189.22"/>
    <n v="166.48"/>
    <n v="192.2"/>
    <n v="168.84"/>
    <n v="121.5"/>
    <n v="197.04"/>
    <n v="170.1"/>
    <n v="186.9"/>
    <n v="177.76000000000002"/>
    <n v="196"/>
    <n v="181.24"/>
    <n v="175.28"/>
    <n v="180.35999999999999"/>
    <n v="169.33333333333334"/>
    <n v="179.6"/>
    <n v="170.2"/>
    <n v="177.95999999999998"/>
    <n v="163.33999999999997"/>
    <n v="168.18"/>
    <n v="173.8"/>
    <n v="171.2"/>
    <n v="170.38"/>
    <n v="175.60000000000002"/>
    <n v="2281.7599999999998"/>
  </r>
  <r>
    <x v="0"/>
    <x v="1"/>
    <x v="10"/>
    <x v="10"/>
    <n v="7"/>
    <x v="29"/>
    <n v="211.18"/>
    <n v="173"/>
    <n v="167.26"/>
    <n v="192.68"/>
    <n v="173.92"/>
    <n v="189.08"/>
    <n v="165.42"/>
    <n v="120.62"/>
    <n v="190.68"/>
    <n v="167.6"/>
    <n v="185.78"/>
    <n v="176.23999999999998"/>
    <n v="195.76"/>
    <n v="177.98000000000002"/>
    <n v="170.4"/>
    <n v="176.83999999999997"/>
    <n v="168.20000000000002"/>
    <n v="179.24"/>
    <n v="167.66"/>
    <n v="175.72"/>
    <n v="161.92000000000002"/>
    <n v="166.78"/>
    <n v="172.15999999999997"/>
    <n v="170.33999999999997"/>
    <n v="168.57999999999998"/>
    <n v="173.68"/>
    <n v="2271.98"/>
  </r>
  <r>
    <x v="1"/>
    <x v="1"/>
    <x v="10"/>
    <x v="10"/>
    <n v="7"/>
    <x v="30"/>
    <n v="210.32"/>
    <n v="171.98"/>
    <n v="167.62"/>
    <n v="190.72"/>
    <n v="174.58"/>
    <n v="192.7"/>
    <n v="165.98"/>
    <n v="120.96"/>
    <n v="191.04"/>
    <n v="166.45999999999998"/>
    <n v="186.42"/>
    <n v="177"/>
    <n v="196.11999999999998"/>
    <n v="177.48000000000002"/>
    <n v="168.88000000000002"/>
    <n v="176.2"/>
    <n v="168.4"/>
    <n v="179.08"/>
    <n v="167.1"/>
    <n v="175.32"/>
    <n v="161.04"/>
    <n v="166.44"/>
    <n v="171.68"/>
    <n v="170.64000000000001"/>
    <n v="168.04000000000002"/>
    <n v="173.68"/>
    <n v="2275.3200000000002"/>
  </r>
  <r>
    <x v="2"/>
    <x v="1"/>
    <x v="10"/>
    <x v="10"/>
    <n v="7"/>
    <x v="31"/>
    <n v="208.24"/>
    <n v="170.46"/>
    <n v="168.1"/>
    <n v="192.58"/>
    <n v="171.5"/>
    <n v="186.38"/>
    <n v="166.98"/>
    <n v="120.82"/>
    <n v="193.6"/>
    <n v="169.57999999999998"/>
    <n v="185.84"/>
    <n v="176.21999999999997"/>
    <n v="195.3"/>
    <n v="179.88000000000002"/>
    <n v="173.8"/>
    <n v="178.98"/>
    <n v="168.6"/>
    <n v="179.12000000000003"/>
    <n v="169.20000000000002"/>
    <n v="177.02000000000004"/>
    <n v="162.94"/>
    <n v="167.52"/>
    <n v="173.1"/>
    <n v="170.83999999999997"/>
    <n v="169.72"/>
    <n v="174.50000000000003"/>
    <n v="2270.5599999999995"/>
  </r>
  <r>
    <x v="0"/>
    <x v="1"/>
    <x v="11"/>
    <x v="11"/>
    <n v="6"/>
    <x v="32"/>
    <n v="217.58"/>
    <n v="172.82"/>
    <n v="166.2"/>
    <n v="196.92"/>
    <n v="171.74"/>
    <n v="187.64"/>
    <n v="164.18"/>
    <n v="120.22"/>
    <n v="187.51999999999998"/>
    <n v="167.1"/>
    <n v="184.58"/>
    <n v="175.7"/>
    <n v="195.46"/>
    <n v="176.82"/>
    <n v="169"/>
    <n v="175.62"/>
    <n v="167.13333333333335"/>
    <n v="177.34"/>
    <n v="166.64"/>
    <n v="175"/>
    <n v="161.49999999999997"/>
    <n v="166.22"/>
    <n v="170.38"/>
    <n v="169.51999999999998"/>
    <n v="167.76"/>
    <n v="172.84"/>
    <n v="2268.3599999999997"/>
  </r>
  <r>
    <x v="1"/>
    <x v="1"/>
    <x v="11"/>
    <x v="11"/>
    <n v="6"/>
    <x v="33"/>
    <n v="216.74"/>
    <n v="173.94"/>
    <n v="166.44"/>
    <n v="194.46"/>
    <n v="173.42"/>
    <n v="190.6"/>
    <n v="164.12"/>
    <n v="120.4"/>
    <n v="187.74"/>
    <n v="165.94"/>
    <n v="185.24"/>
    <n v="176.22"/>
    <n v="195.8"/>
    <n v="176.34"/>
    <n v="167.51999999999998"/>
    <n v="175"/>
    <n v="167.3"/>
    <n v="177.92000000000002"/>
    <n v="166.06"/>
    <n v="174.57999999999998"/>
    <n v="160.72"/>
    <n v="165.88000000000002"/>
    <n v="170.14"/>
    <n v="169.56"/>
    <n v="167.23999999999998"/>
    <n v="172.79999999999998"/>
    <n v="2271.96"/>
  </r>
  <r>
    <x v="2"/>
    <x v="1"/>
    <x v="11"/>
    <x v="11"/>
    <n v="6"/>
    <x v="34"/>
    <n v="212.88"/>
    <n v="173.04"/>
    <n v="166.74"/>
    <n v="196.36"/>
    <n v="172.44"/>
    <n v="182.92"/>
    <n v="164.82"/>
    <n v="120.16"/>
    <n v="190.16000000000003"/>
    <n v="169.08"/>
    <n v="184.78000000000003"/>
    <n v="175.14"/>
    <n v="194.88000000000002"/>
    <n v="178.66"/>
    <n v="172.38000000000002"/>
    <n v="177.71999999999997"/>
    <n v="167.46666666666667"/>
    <n v="178.76000000000002"/>
    <n v="168.1"/>
    <n v="176.28000000000003"/>
    <n v="162.6"/>
    <n v="166.92"/>
    <n v="171.97999999999996"/>
    <n v="169.94"/>
    <n v="169"/>
    <n v="173.58"/>
    <n v="2265.62"/>
  </r>
  <r>
    <x v="0"/>
    <x v="1"/>
    <x v="0"/>
    <x v="12"/>
    <n v="5"/>
    <x v="35"/>
    <n v="218.7"/>
    <n v="166.06"/>
    <n v="165.34"/>
    <n v="199.7"/>
    <n v="170.68"/>
    <n v="183.46"/>
    <n v="164.4"/>
    <n v="120.06"/>
    <n v="185.06"/>
    <n v="166.42000000000002"/>
    <n v="183.2"/>
    <n v="174.66"/>
    <n v="195.14000000000001"/>
    <n v="175.44"/>
    <n v="167.52"/>
    <n v="174.23999999999998"/>
    <n v="167.26666666666668"/>
    <n v="174.99999999999997"/>
    <n v="165.52"/>
    <n v="174.33999999999997"/>
    <n v="162.44"/>
    <n v="165.6"/>
    <n v="168.8"/>
    <n v="168.76"/>
    <n v="167.4"/>
    <n v="172"/>
    <n v="2252.7399999999998"/>
  </r>
  <r>
    <x v="1"/>
    <x v="1"/>
    <x v="0"/>
    <x v="12"/>
    <n v="5"/>
    <x v="36"/>
    <n v="219.64"/>
    <n v="167.94"/>
    <n v="165.58"/>
    <n v="197.9"/>
    <n v="171.02"/>
    <n v="187.84"/>
    <n v="164.26"/>
    <n v="120.26"/>
    <n v="185.16000000000003"/>
    <n v="165.35999999999999"/>
    <n v="183.89999999999998"/>
    <n v="175.48"/>
    <n v="195.42"/>
    <n v="175"/>
    <n v="166.06"/>
    <n v="173.64"/>
    <n v="167.15"/>
    <n v="175.14"/>
    <n v="165.01999999999998"/>
    <n v="173.87999999999997"/>
    <n v="161.23999999999998"/>
    <n v="165.24"/>
    <n v="168.24"/>
    <n v="168.94"/>
    <n v="166.72"/>
    <n v="172.02"/>
    <n v="2259.7599999999998"/>
  </r>
  <r>
    <x v="2"/>
    <x v="1"/>
    <x v="0"/>
    <x v="12"/>
    <n v="5"/>
    <x v="37"/>
    <n v="217.56"/>
    <n v="169.98"/>
    <n v="165.76"/>
    <n v="200.44"/>
    <n v="170.04"/>
    <n v="180.92"/>
    <n v="164.32"/>
    <n v="119.86"/>
    <n v="187.24"/>
    <n v="168.56"/>
    <n v="183.54000000000002"/>
    <n v="174.48"/>
    <n v="194.56"/>
    <n v="177.4"/>
    <n v="170.94"/>
    <n v="176.42"/>
    <n v="167.03333333333333"/>
    <n v="176.35999999999999"/>
    <n v="167.06"/>
    <n v="175.61999999999998"/>
    <n v="162.61999999999998"/>
    <n v="166.32"/>
    <n v="170.14000000000001"/>
    <n v="169.24"/>
    <n v="168.32"/>
    <n v="172.71999999999997"/>
    <n v="2257.8199999999997"/>
  </r>
  <r>
    <x v="0"/>
    <x v="1"/>
    <x v="1"/>
    <x v="13"/>
    <n v="4"/>
    <x v="38"/>
    <n v="214.64"/>
    <n v="163.82"/>
    <n v="164.38"/>
    <n v="198.46"/>
    <n v="172.14"/>
    <n v="174.82"/>
    <n v="164.58"/>
    <n v="119.56"/>
    <n v="182.04000000000002"/>
    <n v="165.56"/>
    <n v="181.68"/>
    <n v="172.44"/>
    <n v="194.83999999999997"/>
    <n v="173.82"/>
    <n v="165.83999999999997"/>
    <n v="172.6"/>
    <n v="167.16666666666666"/>
    <n v="172.95999999999998"/>
    <n v="164.3"/>
    <n v="173.56"/>
    <n v="162.92000000000002"/>
    <n v="164.92"/>
    <n v="167.76"/>
    <n v="168.58"/>
    <n v="166.95999999999998"/>
    <n v="170.68"/>
    <n v="2228.06"/>
  </r>
  <r>
    <x v="1"/>
    <x v="1"/>
    <x v="1"/>
    <x v="13"/>
    <n v="4"/>
    <x v="39"/>
    <n v="216.1"/>
    <n v="163.4"/>
    <n v="164.6"/>
    <n v="197.46"/>
    <n v="172.4"/>
    <n v="179.08"/>
    <n v="164.5"/>
    <n v="119.86"/>
    <n v="182.44"/>
    <n v="164.5"/>
    <n v="182.4"/>
    <n v="173.38000000000002"/>
    <n v="195.1"/>
    <n v="173.44"/>
    <n v="164.5"/>
    <n v="172.10000000000002"/>
    <n v="167.25"/>
    <n v="173.22"/>
    <n v="163.80000000000001"/>
    <n v="173.12000000000003"/>
    <n v="162.28"/>
    <n v="164.50000000000003"/>
    <n v="167.16"/>
    <n v="168.46"/>
    <n v="166.42"/>
    <n v="170.85999999999999"/>
    <n v="2234.52"/>
  </r>
  <r>
    <x v="2"/>
    <x v="1"/>
    <x v="1"/>
    <x v="13"/>
    <n v="4"/>
    <x v="40"/>
    <n v="216.38"/>
    <n v="164.4"/>
    <n v="164.84"/>
    <n v="201.88"/>
    <n v="170.38"/>
    <n v="174.4"/>
    <n v="164.62"/>
    <n v="119.58"/>
    <n v="184.61999999999998"/>
    <n v="167.84"/>
    <n v="182.12"/>
    <n v="172.96"/>
    <n v="194.26"/>
    <n v="175.9"/>
    <n v="169.34"/>
    <n v="174.92000000000002"/>
    <n v="167.33333333333334"/>
    <n v="174.45999999999998"/>
    <n v="165.9"/>
    <n v="174.95999999999998"/>
    <n v="163.52000000000001"/>
    <n v="165.66"/>
    <n v="168.88000000000002"/>
    <n v="168.68"/>
    <n v="168"/>
    <n v="171.74000000000004"/>
    <n v="2238.1"/>
  </r>
  <r>
    <x v="0"/>
    <x v="1"/>
    <x v="2"/>
    <x v="14"/>
    <n v="3"/>
    <x v="41"/>
    <n v="212"/>
    <n v="166.5"/>
    <n v="162.96"/>
    <n v="194.22"/>
    <n v="163.74"/>
    <n v="171.08"/>
    <n v="164.12"/>
    <n v="119.18"/>
    <n v="178.33999999999997"/>
    <n v="164.7"/>
    <n v="180.08"/>
    <n v="169.92000000000002"/>
    <n v="194.68"/>
    <n v="172.1"/>
    <n v="164"/>
    <n v="170.9"/>
    <n v="165.86666666666667"/>
    <n v="168.88"/>
    <n v="163.08000000000001"/>
    <n v="172.64000000000001"/>
    <n v="159.91999999999999"/>
    <n v="164.01999999999998"/>
    <n v="166.83999999999997"/>
    <n v="167.76000000000002"/>
    <n v="165.36"/>
    <n v="168.58"/>
    <n v="2199.3199999999997"/>
  </r>
  <r>
    <x v="1"/>
    <x v="1"/>
    <x v="2"/>
    <x v="14"/>
    <n v="3"/>
    <x v="42"/>
    <n v="212.76"/>
    <n v="165.82"/>
    <n v="163.34"/>
    <n v="193.5"/>
    <n v="167.08"/>
    <n v="173.16"/>
    <n v="164.22"/>
    <n v="119.36"/>
    <n v="178.85999999999999"/>
    <n v="163.69999999999999"/>
    <n v="180.78"/>
    <n v="170.76"/>
    <n v="195"/>
    <n v="171.8"/>
    <n v="162.66"/>
    <n v="170.44"/>
    <n v="166.15"/>
    <n v="169.54000000000002"/>
    <n v="162.57999999999998"/>
    <n v="172.24"/>
    <n v="160.04000000000002"/>
    <n v="163.57999999999998"/>
    <n v="166.1"/>
    <n v="168.04000000000002"/>
    <n v="165.06"/>
    <n v="168.86"/>
    <n v="2206.3599999999997"/>
  </r>
  <r>
    <x v="2"/>
    <x v="1"/>
    <x v="2"/>
    <x v="14"/>
    <n v="3"/>
    <x v="43"/>
    <n v="212.54"/>
    <n v="164.56"/>
    <n v="163.74"/>
    <n v="199.48"/>
    <n v="168.76"/>
    <n v="167.56"/>
    <n v="164.54"/>
    <n v="119.08"/>
    <n v="181.23999999999998"/>
    <n v="166.92000000000002"/>
    <n v="180.56"/>
    <n v="170.61999999999998"/>
    <n v="194.07999999999998"/>
    <n v="174.24"/>
    <n v="167.58"/>
    <n v="173.26"/>
    <n v="166.43333333333334"/>
    <n v="171.7"/>
    <n v="164.64"/>
    <n v="174.14000000000001"/>
    <n v="162.62"/>
    <n v="164.94"/>
    <n v="167.92"/>
    <n v="168.38000000000002"/>
    <n v="167.12"/>
    <n v="170.06"/>
    <n v="2212.46"/>
  </r>
  <r>
    <x v="0"/>
    <x v="1"/>
    <x v="3"/>
    <x v="15"/>
    <n v="2"/>
    <x v="44"/>
    <n v="205.54"/>
    <n v="172.66"/>
    <n v="161.32"/>
    <n v="186.42"/>
    <n v="155.4"/>
    <n v="173.42"/>
    <n v="163.68"/>
    <n v="119.2"/>
    <n v="175.06000000000003"/>
    <n v="164.04"/>
    <n v="178.64"/>
    <n v="167.68"/>
    <n v="194.11999999999998"/>
    <n v="170.62"/>
    <n v="161.92000000000002"/>
    <n v="169.34"/>
    <n v="165.43333333333334"/>
    <n v="165.9"/>
    <n v="162.00000000000003"/>
    <n v="171.78000000000003"/>
    <n v="157.47999999999996"/>
    <n v="162.9"/>
    <n v="166.2"/>
    <n v="165.45999999999998"/>
    <n v="163.82"/>
    <n v="166.7"/>
    <n v="2174.1"/>
  </r>
  <r>
    <x v="1"/>
    <x v="1"/>
    <x v="3"/>
    <x v="15"/>
    <n v="2"/>
    <x v="45"/>
    <n v="208.06"/>
    <n v="171.12"/>
    <n v="161.62"/>
    <n v="186.82"/>
    <n v="156.63999999999999"/>
    <n v="175.76"/>
    <n v="163.68"/>
    <n v="119.34"/>
    <n v="175.46"/>
    <n v="163"/>
    <n v="179.24"/>
    <n v="168.57999999999998"/>
    <n v="194.56"/>
    <n v="170.22"/>
    <n v="160.64000000000001"/>
    <n v="168.82"/>
    <n v="165.4"/>
    <n v="165.85999999999999"/>
    <n v="161.42000000000002"/>
    <n v="171.32"/>
    <n v="156.82"/>
    <n v="162.45999999999998"/>
    <n v="165.34"/>
    <n v="166"/>
    <n v="163.28"/>
    <n v="166.9"/>
    <n v="2180.86"/>
  </r>
  <r>
    <x v="2"/>
    <x v="1"/>
    <x v="3"/>
    <x v="15"/>
    <n v="2"/>
    <x v="46"/>
    <n v="208.96"/>
    <n v="168.74"/>
    <n v="162.26"/>
    <n v="194"/>
    <n v="159.30000000000001"/>
    <n v="166.88"/>
    <n v="164.06"/>
    <n v="118.86"/>
    <n v="177.6"/>
    <n v="166.14"/>
    <n v="179.02"/>
    <n v="168.26"/>
    <n v="193.82"/>
    <n v="172.58"/>
    <n v="165.58"/>
    <n v="171.56"/>
    <n v="165.36666666666667"/>
    <n v="167.92"/>
    <n v="163.48000000000002"/>
    <n v="173.28"/>
    <n v="159.44"/>
    <n v="164"/>
    <n v="167.12"/>
    <n v="166.95999999999998"/>
    <n v="165.44"/>
    <n v="167.95999999999998"/>
    <n v="2185.4799999999996"/>
  </r>
  <r>
    <x v="0"/>
    <x v="1"/>
    <x v="4"/>
    <x v="16"/>
    <n v="1"/>
    <x v="47"/>
    <n v="200.2"/>
    <n v="177.76"/>
    <n v="160.54"/>
    <n v="182.48"/>
    <n v="153.84"/>
    <n v="178.06"/>
    <n v="163.76"/>
    <n v="119.86"/>
    <n v="172.56"/>
    <n v="163.58000000000001"/>
    <n v="177.68"/>
    <n v="166.97999999999996"/>
    <n v="193.45999999999998"/>
    <n v="169.51999999999998"/>
    <n v="159.97999999999999"/>
    <n v="168.09999999999997"/>
    <n v="164.83333333333334"/>
    <n v="164.4"/>
    <n v="161.18"/>
    <n v="170.94"/>
    <n v="156.86000000000001"/>
    <n v="161.9"/>
    <n v="165.57999999999998"/>
    <n v="163.54000000000002"/>
    <n v="162.92000000000002"/>
    <n v="165.85999999999999"/>
    <n v="2167.5599999999995"/>
  </r>
  <r>
    <x v="1"/>
    <x v="1"/>
    <x v="4"/>
    <x v="16"/>
    <n v="1"/>
    <x v="48"/>
    <n v="200.94"/>
    <n v="177.32"/>
    <n v="160.58000000000001"/>
    <n v="180.94"/>
    <n v="154.34"/>
    <n v="180.16"/>
    <n v="163.69999999999999"/>
    <n v="119.78"/>
    <n v="172.76"/>
    <n v="162.56"/>
    <n v="178.12"/>
    <n v="167.4"/>
    <n v="193.88000000000002"/>
    <n v="169.04000000000002"/>
    <n v="158.6"/>
    <n v="167.48"/>
    <n v="165"/>
    <n v="164.37999999999997"/>
    <n v="160.56"/>
    <n v="170.44"/>
    <n v="156.07999999999998"/>
    <n v="161.34"/>
    <n v="164.68"/>
    <n v="163.78"/>
    <n v="162.30000000000001"/>
    <n v="165.8"/>
    <n v="2169.1999999999998"/>
  </r>
  <r>
    <x v="2"/>
    <x v="1"/>
    <x v="4"/>
    <x v="16"/>
    <n v="1"/>
    <x v="49"/>
    <n v="202.12"/>
    <n v="174.88"/>
    <n v="160.9"/>
    <n v="187.36"/>
    <n v="154.22"/>
    <n v="170.6"/>
    <n v="163.78"/>
    <n v="119.14"/>
    <n v="174.54000000000002"/>
    <n v="165.48000000000002"/>
    <n v="177.8"/>
    <n v="166.66000000000003"/>
    <n v="193.06"/>
    <n v="171.18"/>
    <n v="163.54000000000002"/>
    <n v="170.06"/>
    <n v="165.16666666666666"/>
    <n v="165.83999999999997"/>
    <n v="162.5"/>
    <n v="172.42000000000002"/>
    <n v="157.94"/>
    <n v="162.97999999999999"/>
    <n v="166.6"/>
    <n v="164.7"/>
    <n v="164.24"/>
    <n v="166.54000000000002"/>
    <n v="2167.6799999999998"/>
  </r>
  <r>
    <x v="0"/>
    <x v="2"/>
    <x v="5"/>
    <x v="17"/>
    <n v="12"/>
    <x v="50"/>
    <n v="199.4"/>
    <n v="178.5"/>
    <n v="160.12"/>
    <n v="184.1"/>
    <n v="154.58000000000001"/>
    <n v="188.58"/>
    <n v="164.18"/>
    <n v="120.82"/>
    <n v="170.7"/>
    <n v="163.36000000000001"/>
    <n v="176.92"/>
    <n v="168.11999999999998"/>
    <n v="193.42000000000002"/>
    <n v="168.3"/>
    <n v="158.1"/>
    <n v="166.76"/>
    <n v="163.76666666666668"/>
    <n v="163.76000000000002"/>
    <n v="160.35999999999999"/>
    <n v="170.10000000000002"/>
    <n v="156.21999999999997"/>
    <n v="161.19999999999999"/>
    <n v="165.11999999999998"/>
    <n v="162.76"/>
    <n v="162.19999999999999"/>
    <n v="165.95999999999998"/>
    <n v="2179.02"/>
  </r>
  <r>
    <x v="1"/>
    <x v="2"/>
    <x v="5"/>
    <x v="17"/>
    <n v="12"/>
    <x v="51"/>
    <n v="199.74"/>
    <n v="178.96"/>
    <n v="160.26"/>
    <n v="181.88"/>
    <n v="154.91999999999999"/>
    <n v="188.98"/>
    <n v="164.06"/>
    <n v="120.7"/>
    <n v="170.78"/>
    <n v="162.28000000000003"/>
    <n v="177.35999999999999"/>
    <n v="168.23999999999998"/>
    <n v="193.7"/>
    <n v="167.92000000000002"/>
    <n v="156.78000000000003"/>
    <n v="166.21999999999997"/>
    <n v="163.95"/>
    <n v="163.47999999999996"/>
    <n v="159.80000000000001"/>
    <n v="169.57999999999998"/>
    <n v="155.5"/>
    <n v="160.54000000000002"/>
    <n v="164.11999999999998"/>
    <n v="162.80000000000001"/>
    <n v="161.54000000000002"/>
    <n v="165.7"/>
    <n v="2178.2199999999998"/>
  </r>
  <r>
    <x v="2"/>
    <x v="2"/>
    <x v="5"/>
    <x v="17"/>
    <n v="12"/>
    <x v="52"/>
    <n v="198.92"/>
    <n v="178.06"/>
    <n v="160.4"/>
    <n v="185.7"/>
    <n v="153.54"/>
    <n v="176.12"/>
    <n v="164"/>
    <n v="119.94"/>
    <n v="172.22"/>
    <n v="165.08"/>
    <n v="176.97999999999996"/>
    <n v="166.57999999999998"/>
    <n v="192.64000000000001"/>
    <n v="170.07999999999998"/>
    <n v="161.64000000000001"/>
    <n v="168.82"/>
    <n v="164.13333333333333"/>
    <n v="164.62"/>
    <n v="161.74"/>
    <n v="171.61999999999998"/>
    <n v="157.38000000000002"/>
    <n v="162.11999999999998"/>
    <n v="166.06"/>
    <n v="163.21999999999997"/>
    <n v="163.44"/>
    <n v="166"/>
    <n v="2167.04"/>
  </r>
  <r>
    <x v="0"/>
    <x v="2"/>
    <x v="6"/>
    <x v="18"/>
    <n v="11"/>
    <x v="53"/>
    <n v="201.1"/>
    <n v="175.28"/>
    <n v="159.56"/>
    <n v="186.72"/>
    <n v="156.06"/>
    <n v="200.8"/>
    <n v="164.9"/>
    <n v="122.02"/>
    <n v="169.5"/>
    <n v="163.01999999999998"/>
    <n v="175.98000000000002"/>
    <n v="169.74"/>
    <n v="193.77999999999997"/>
    <n v="167"/>
    <n v="156.54000000000002"/>
    <n v="165.44"/>
    <n v="163.93333333333331"/>
    <n v="163.61999999999998"/>
    <n v="159.46"/>
    <n v="169.32"/>
    <n v="155.35999999999999"/>
    <n v="160.47999999999999"/>
    <n v="164.94"/>
    <n v="162.32"/>
    <n v="161.54000000000002"/>
    <n v="166.42"/>
    <n v="2193.6999999999998"/>
  </r>
  <r>
    <x v="1"/>
    <x v="2"/>
    <x v="6"/>
    <x v="18"/>
    <n v="11"/>
    <x v="54"/>
    <n v="200.9"/>
    <n v="176.56"/>
    <n v="159.72"/>
    <n v="184.56"/>
    <n v="156.4"/>
    <n v="201.68"/>
    <n v="164.7"/>
    <n v="121.8"/>
    <n v="169.44"/>
    <n v="162.04000000000002"/>
    <n v="176.42"/>
    <n v="169.88000000000002"/>
    <n v="193.98"/>
    <n v="166.62"/>
    <n v="155.08000000000001"/>
    <n v="164.88"/>
    <n v="163.79999999999998"/>
    <n v="163.38"/>
    <n v="158.91999999999999"/>
    <n v="168.76000000000002"/>
    <n v="154.72000000000003"/>
    <n v="159.84"/>
    <n v="163.95999999999998"/>
    <n v="162.36000000000001"/>
    <n v="160.9"/>
    <n v="166.14000000000001"/>
    <n v="2193.48"/>
  </r>
  <r>
    <x v="2"/>
    <x v="2"/>
    <x v="6"/>
    <x v="18"/>
    <n v="11"/>
    <x v="55"/>
    <n v="199.3"/>
    <n v="177.08"/>
    <n v="159.9"/>
    <n v="187.92"/>
    <n v="154.58000000000001"/>
    <n v="187.7"/>
    <n v="164.48"/>
    <n v="121.04"/>
    <n v="170.66"/>
    <n v="164.77999999999997"/>
    <n v="176.21999999999997"/>
    <n v="168"/>
    <n v="192.71999999999997"/>
    <n v="168.8"/>
    <n v="159.88000000000002"/>
    <n v="167.48000000000002"/>
    <n v="163.66666666666666"/>
    <n v="164.21999999999997"/>
    <n v="160.86000000000001"/>
    <n v="170.85999999999999"/>
    <n v="156.64000000000001"/>
    <n v="161.47999999999999"/>
    <n v="165.78"/>
    <n v="162.64000000000001"/>
    <n v="162.76000000000002"/>
    <n v="166.29999999999998"/>
    <n v="2180.5"/>
  </r>
  <r>
    <x v="0"/>
    <x v="2"/>
    <x v="7"/>
    <x v="19"/>
    <n v="10"/>
    <x v="56"/>
    <n v="204.04"/>
    <n v="172.24"/>
    <n v="159"/>
    <n v="188.04"/>
    <n v="156.22"/>
    <n v="196.62"/>
    <n v="165.24"/>
    <n v="122.24"/>
    <n v="168.94"/>
    <n v="162.52000000000001"/>
    <n v="175.06"/>
    <n v="169.14000000000001"/>
    <n v="193.85999999999999"/>
    <n v="165.62000000000003"/>
    <n v="155.35999999999999"/>
    <n v="164.08"/>
    <n v="163.79999999999998"/>
    <n v="163.76000000000002"/>
    <n v="158.56"/>
    <n v="168.54000000000002"/>
    <n v="155.5"/>
    <n v="159.48000000000002"/>
    <n v="164.66"/>
    <n v="161.28000000000003"/>
    <n v="161.04000000000002"/>
    <n v="165.92000000000002"/>
    <n v="2187.6"/>
  </r>
  <r>
    <x v="1"/>
    <x v="2"/>
    <x v="7"/>
    <x v="19"/>
    <n v="10"/>
    <x v="57"/>
    <n v="203.86"/>
    <n v="172.82"/>
    <n v="159.18"/>
    <n v="186.3"/>
    <n v="157"/>
    <n v="202.38"/>
    <n v="165.26"/>
    <n v="122.4"/>
    <n v="168.74"/>
    <n v="161.5"/>
    <n v="175.44"/>
    <n v="169.98000000000002"/>
    <n v="194.2"/>
    <n v="165.28000000000003"/>
    <n v="153.88"/>
    <n v="163.58000000000001"/>
    <n v="163.89999999999998"/>
    <n v="163.44"/>
    <n v="158.01999999999998"/>
    <n v="168.02"/>
    <n v="154.56"/>
    <n v="158.80000000000001"/>
    <n v="163.72000000000003"/>
    <n v="161.5"/>
    <n v="160.38"/>
    <n v="166"/>
    <n v="2193.5800000000004"/>
  </r>
  <r>
    <x v="2"/>
    <x v="2"/>
    <x v="7"/>
    <x v="19"/>
    <n v="10"/>
    <x v="58"/>
    <n v="201.58"/>
    <n v="173.52"/>
    <n v="159.30000000000001"/>
    <n v="190.14"/>
    <n v="155.54"/>
    <n v="193.96"/>
    <n v="165.1"/>
    <n v="122.02"/>
    <n v="169.71999999999997"/>
    <n v="164.35999999999999"/>
    <n v="175.28"/>
    <n v="168.84"/>
    <n v="192.95999999999998"/>
    <n v="167.48000000000002"/>
    <n v="158.45999999999998"/>
    <n v="166.16"/>
    <n v="163.99999999999997"/>
    <n v="164.12"/>
    <n v="159.94"/>
    <n v="170.12"/>
    <n v="156.14000000000001"/>
    <n v="160.68"/>
    <n v="165.6"/>
    <n v="162"/>
    <n v="162.18"/>
    <n v="166.48000000000002"/>
    <n v="2187.54"/>
  </r>
  <r>
    <x v="0"/>
    <x v="2"/>
    <x v="8"/>
    <x v="20"/>
    <n v="9"/>
    <x v="59"/>
    <n v="204.88"/>
    <n v="172.4"/>
    <n v="158.62"/>
    <n v="186.78"/>
    <n v="156.5"/>
    <n v="176.4"/>
    <n v="164.6"/>
    <n v="120.7"/>
    <n v="168.5"/>
    <n v="162"/>
    <n v="174.26"/>
    <n v="166.07999999999998"/>
    <n v="193.45999999999998"/>
    <n v="164.35999999999999"/>
    <n v="154.33999999999997"/>
    <n v="162.88000000000002"/>
    <n v="162.6"/>
    <n v="162.95999999999998"/>
    <n v="157.68"/>
    <n v="167.82"/>
    <n v="154.80000000000001"/>
    <n v="158.52000000000001"/>
    <n v="164.35999999999999"/>
    <n v="160.24"/>
    <n v="160.30000000000001"/>
    <n v="164.07999999999998"/>
    <n v="2159.2199999999998"/>
  </r>
  <r>
    <x v="1"/>
    <x v="2"/>
    <x v="8"/>
    <x v="20"/>
    <n v="9"/>
    <x v="60"/>
    <n v="205.38"/>
    <n v="172.24"/>
    <n v="158.76"/>
    <n v="185.8"/>
    <n v="157.1"/>
    <n v="183.18"/>
    <n v="164.86"/>
    <n v="121.22"/>
    <n v="168.34"/>
    <n v="160.98000000000002"/>
    <n v="174.64000000000001"/>
    <n v="167.2"/>
    <n v="193.9"/>
    <n v="163.95999999999998"/>
    <n v="152.88000000000002"/>
    <n v="162.32000000000002"/>
    <n v="162.85"/>
    <n v="163.06"/>
    <n v="157.1"/>
    <n v="167.26000000000002"/>
    <n v="154.38000000000002"/>
    <n v="157.69999999999999"/>
    <n v="163.44"/>
    <n v="160.35999999999999"/>
    <n v="159.74"/>
    <n v="164.38"/>
    <n v="2167.6"/>
  </r>
  <r>
    <x v="2"/>
    <x v="2"/>
    <x v="8"/>
    <x v="20"/>
    <n v="9"/>
    <x v="61"/>
    <n v="203.86"/>
    <n v="171.72"/>
    <n v="158.76"/>
    <n v="190.48"/>
    <n v="155.5"/>
    <n v="183.26"/>
    <n v="165.04"/>
    <n v="121.56"/>
    <n v="169.26"/>
    <n v="163.83999999999997"/>
    <n v="174.47999999999996"/>
    <n v="167.24"/>
    <n v="192.88"/>
    <n v="166.07999999999998"/>
    <n v="157.35999999999999"/>
    <n v="164.8"/>
    <n v="163.1"/>
    <n v="163.95999999999998"/>
    <n v="159.02000000000001"/>
    <n v="169.38"/>
    <n v="156.06"/>
    <n v="159.68"/>
    <n v="165.24"/>
    <n v="160.92000000000002"/>
    <n v="161.58000000000001"/>
    <n v="165.44"/>
    <n v="2172.42"/>
  </r>
  <r>
    <x v="0"/>
    <x v="2"/>
    <x v="9"/>
    <x v="21"/>
    <n v="8"/>
    <x v="62"/>
    <n v="204.64"/>
    <n v="173.9"/>
    <n v="158.44"/>
    <n v="184.88"/>
    <n v="157.54"/>
    <n v="166.86"/>
    <n v="163.96"/>
    <n v="119"/>
    <n v="168.21999999999997"/>
    <n v="161.64000000000001"/>
    <n v="173.76000000000002"/>
    <n v="164.5"/>
    <n v="193.16"/>
    <n v="163.76"/>
    <n v="153.74"/>
    <n v="162.26"/>
    <n v="162.1"/>
    <n v="162.17999999999998"/>
    <n v="157.24"/>
    <n v="167.4"/>
    <n v="154.08000000000001"/>
    <n v="157.79999999999998"/>
    <n v="164.1"/>
    <n v="159.94"/>
    <n v="159.82"/>
    <n v="163.07999999999998"/>
    <n v="2144.4400000000005"/>
  </r>
  <r>
    <x v="1"/>
    <x v="2"/>
    <x v="9"/>
    <x v="21"/>
    <n v="8"/>
    <x v="63"/>
    <n v="204.98"/>
    <n v="173.16"/>
    <n v="158.62"/>
    <n v="184.3"/>
    <n v="157.74"/>
    <n v="168.54"/>
    <n v="164.22"/>
    <n v="119.9"/>
    <n v="168.01999999999998"/>
    <n v="160.66"/>
    <n v="174.16"/>
    <n v="164.94"/>
    <n v="193.54000000000002"/>
    <n v="163.28"/>
    <n v="152.28000000000003"/>
    <n v="161.66"/>
    <n v="162.1"/>
    <n v="162.07999999999998"/>
    <n v="156.56"/>
    <n v="166.86"/>
    <n v="153.34"/>
    <n v="157.11999999999998"/>
    <n v="163.34"/>
    <n v="159.88"/>
    <n v="159.16"/>
    <n v="163"/>
    <n v="2146.6800000000003"/>
  </r>
  <r>
    <x v="2"/>
    <x v="2"/>
    <x v="9"/>
    <x v="21"/>
    <n v="8"/>
    <x v="64"/>
    <n v="204"/>
    <n v="172.36"/>
    <n v="158.46"/>
    <n v="189.06"/>
    <n v="156"/>
    <n v="165.96"/>
    <n v="164.36"/>
    <n v="120.14"/>
    <n v="168.9"/>
    <n v="163.45999999999998"/>
    <n v="173.86"/>
    <n v="164.58"/>
    <n v="192.48000000000002"/>
    <n v="165.1"/>
    <n v="156.51999999999998"/>
    <n v="163.85999999999999"/>
    <n v="162.1"/>
    <n v="163.04"/>
    <n v="158.32"/>
    <n v="168.8"/>
    <n v="155.16"/>
    <n v="159.01999999999998"/>
    <n v="165.06"/>
    <n v="160.18"/>
    <n v="160.9"/>
    <n v="163.80000000000001"/>
    <n v="2147.94"/>
  </r>
  <r>
    <x v="0"/>
    <x v="2"/>
    <x v="10"/>
    <x v="22"/>
    <n v="7"/>
    <x v="65"/>
    <n v="206.38"/>
    <n v="179.64"/>
    <n v="157.9"/>
    <n v="181.46"/>
    <n v="161.9"/>
    <n v="168.12"/>
    <n v="163.92"/>
    <n v="115.94"/>
    <n v="167.9"/>
    <n v="160.58000000000001"/>
    <n v="172.74"/>
    <n v="164.54000000000002"/>
    <n v="192.61999999999998"/>
    <n v="162.69999999999999"/>
    <n v="152.46"/>
    <n v="161.16"/>
    <n v="161.70000000000002"/>
    <n v="160.94"/>
    <n v="156.18"/>
    <n v="166.56"/>
    <n v="153.56"/>
    <n v="156.4"/>
    <n v="163.72"/>
    <n v="160.00000000000003"/>
    <n v="159.22"/>
    <n v="162.68"/>
    <n v="2147.9800000000005"/>
  </r>
  <r>
    <x v="1"/>
    <x v="2"/>
    <x v="10"/>
    <x v="22"/>
    <n v="7"/>
    <x v="66"/>
    <n v="206.28"/>
    <n v="178.12"/>
    <n v="158.16"/>
    <n v="181.32"/>
    <n v="161.72"/>
    <n v="170"/>
    <n v="164.02"/>
    <n v="117.1"/>
    <n v="167.71999999999997"/>
    <n v="159.88000000000002"/>
    <n v="173.32"/>
    <n v="165"/>
    <n v="193.1"/>
    <n v="162.4"/>
    <n v="151.30000000000001"/>
    <n v="160.74"/>
    <n v="161.80000000000001"/>
    <n v="160.96"/>
    <n v="155.61999999999998"/>
    <n v="166.16000000000003"/>
    <n v="152.94"/>
    <n v="155.78"/>
    <n v="163.04000000000002"/>
    <n v="159.92000000000002"/>
    <n v="158.66"/>
    <n v="162.68"/>
    <n v="2149.8999999999996"/>
  </r>
  <r>
    <x v="2"/>
    <x v="2"/>
    <x v="10"/>
    <x v="22"/>
    <n v="7"/>
    <x v="67"/>
    <n v="204.52"/>
    <n v="175.52"/>
    <n v="158.12"/>
    <n v="186.3"/>
    <n v="158.08000000000001"/>
    <n v="163"/>
    <n v="163.86"/>
    <n v="117.82"/>
    <n v="168.64000000000001"/>
    <n v="162.85999999999999"/>
    <n v="173.18"/>
    <n v="163.84"/>
    <n v="192.1"/>
    <n v="164.35999999999999"/>
    <n v="155.63999999999999"/>
    <n v="163.06"/>
    <n v="161.9"/>
    <n v="162.16"/>
    <n v="157.74"/>
    <n v="168.24"/>
    <n v="154.6"/>
    <n v="158.07999999999998"/>
    <n v="164.68"/>
    <n v="160.04000000000002"/>
    <n v="160.41999999999999"/>
    <n v="163.12"/>
    <n v="2142.2600000000002"/>
  </r>
  <r>
    <x v="0"/>
    <x v="2"/>
    <x v="11"/>
    <x v="23"/>
    <n v="6"/>
    <x v="68"/>
    <n v="204.6"/>
    <n v="181.64"/>
    <n v="156.82"/>
    <n v="181.12"/>
    <n v="164.66"/>
    <n v="163.1"/>
    <n v="165.34"/>
    <n v="115.08"/>
    <n v="167.84"/>
    <n v="159.47999999999999"/>
    <n v="172.38"/>
    <n v="163.78"/>
    <n v="192.14000000000001"/>
    <n v="161.73999999999998"/>
    <n v="151.04"/>
    <n v="160.18"/>
    <n v="160.83333333333334"/>
    <n v="159.64000000000001"/>
    <n v="154.95999999999998"/>
    <n v="165.74"/>
    <n v="151.80000000000001"/>
    <n v="155.58000000000001"/>
    <n v="162.82"/>
    <n v="159.24"/>
    <n v="158.06"/>
    <n v="161.76"/>
    <n v="2142.98"/>
  </r>
  <r>
    <x v="1"/>
    <x v="2"/>
    <x v="11"/>
    <x v="23"/>
    <n v="6"/>
    <x v="69"/>
    <n v="205.94"/>
    <n v="182.22"/>
    <n v="157.1"/>
    <n v="179.46"/>
    <n v="165.72"/>
    <n v="167"/>
    <n v="165.04"/>
    <n v="115.06"/>
    <n v="167.5"/>
    <n v="158.56"/>
    <n v="172.48000000000002"/>
    <n v="164.48"/>
    <n v="192.56"/>
    <n v="161.24"/>
    <n v="149.68"/>
    <n v="159.54"/>
    <n v="161"/>
    <n v="159.35999999999999"/>
    <n v="154.28000000000003"/>
    <n v="165.2"/>
    <n v="151.57999999999998"/>
    <n v="154.56"/>
    <n v="162.1"/>
    <n v="159.38000000000002"/>
    <n v="157.56"/>
    <n v="161.84"/>
    <n v="2147.8599999999997"/>
  </r>
  <r>
    <x v="2"/>
    <x v="2"/>
    <x v="11"/>
    <x v="23"/>
    <n v="6"/>
    <x v="70"/>
    <n v="205.3"/>
    <n v="180.96"/>
    <n v="157.30000000000001"/>
    <n v="183.2"/>
    <n v="162.56"/>
    <n v="162.54"/>
    <n v="164.22"/>
    <n v="114.88"/>
    <n v="168.35999999999999"/>
    <n v="161.62"/>
    <n v="172.2"/>
    <n v="163.6"/>
    <n v="191.48000000000002"/>
    <n v="163.18"/>
    <n v="154.1"/>
    <n v="161.84"/>
    <n v="161.16666666666666"/>
    <n v="160.76000000000002"/>
    <n v="156.5"/>
    <n v="167.26000000000002"/>
    <n v="153.61999999999998"/>
    <n v="156.64000000000001"/>
    <n v="163.98"/>
    <n v="159.84"/>
    <n v="159.54000000000002"/>
    <n v="162.47999999999999"/>
    <n v="2143.1800000000003"/>
  </r>
  <r>
    <x v="0"/>
    <x v="2"/>
    <x v="0"/>
    <x v="24"/>
    <n v="5"/>
    <x v="71"/>
    <n v="201.78"/>
    <n v="174.8"/>
    <n v="156.19999999999999"/>
    <n v="178.9"/>
    <n v="166.4"/>
    <n v="154.74"/>
    <n v="165.76"/>
    <n v="115.14"/>
    <n v="167.71999999999997"/>
    <n v="158.74"/>
    <n v="171.26"/>
    <n v="162.06"/>
    <n v="192.88"/>
    <n v="161.24"/>
    <n v="150.66"/>
    <n v="159.68"/>
    <n v="161.23333333333332"/>
    <n v="158.96"/>
    <n v="154.51999999999998"/>
    <n v="165.16"/>
    <n v="149.76"/>
    <n v="155.9"/>
    <n v="162.06"/>
    <n v="158.56"/>
    <n v="157.02000000000001"/>
    <n v="160.69999999999999"/>
    <n v="2120.5"/>
  </r>
  <r>
    <x v="1"/>
    <x v="2"/>
    <x v="0"/>
    <x v="24"/>
    <n v="5"/>
    <x v="72"/>
    <n v="202.48"/>
    <n v="177.22"/>
    <n v="156.28"/>
    <n v="178.76"/>
    <n v="166.86"/>
    <n v="158.13999999999999"/>
    <n v="165.94"/>
    <n v="115.3"/>
    <n v="167.48"/>
    <n v="157.82"/>
    <n v="171.78"/>
    <n v="162.83999999999997"/>
    <n v="193.12000000000003"/>
    <n v="160.62000000000003"/>
    <n v="148.9"/>
    <n v="158.92000000000002"/>
    <n v="161.05000000000001"/>
    <n v="158.58000000000001"/>
    <n v="153.71999999999997"/>
    <n v="164.6"/>
    <n v="149.26"/>
    <n v="154.88"/>
    <n v="160.87999999999997"/>
    <n v="158.45999999999998"/>
    <n v="156.32"/>
    <n v="160.74"/>
    <n v="2128.2199999999998"/>
  </r>
  <r>
    <x v="2"/>
    <x v="2"/>
    <x v="0"/>
    <x v="24"/>
    <n v="5"/>
    <x v="73"/>
    <n v="202.52"/>
    <n v="178.7"/>
    <n v="156.4"/>
    <n v="182.74"/>
    <n v="163.9"/>
    <n v="155.4"/>
    <n v="165.48"/>
    <n v="114.9"/>
    <n v="168.38000000000002"/>
    <n v="160.66"/>
    <n v="171.76000000000002"/>
    <n v="162.34"/>
    <n v="191.42000000000002"/>
    <n v="162.52000000000001"/>
    <n v="153.07999999999998"/>
    <n v="161.16"/>
    <n v="160.86666666666667"/>
    <n v="159.98000000000002"/>
    <n v="155.76"/>
    <n v="166.6"/>
    <n v="151.68"/>
    <n v="156.5"/>
    <n v="163"/>
    <n v="159.04"/>
    <n v="158.42000000000002"/>
    <n v="161.48000000000002"/>
    <n v="2129.7600000000002"/>
  </r>
  <r>
    <x v="0"/>
    <x v="2"/>
    <x v="1"/>
    <x v="25"/>
    <n v="4"/>
    <x v="74"/>
    <n v="199.76"/>
    <n v="167.2"/>
    <n v="155.74"/>
    <n v="171.98"/>
    <n v="165.72"/>
    <n v="149.13999999999999"/>
    <n v="163.32"/>
    <n v="114.06"/>
    <n v="165.2"/>
    <n v="157.52000000000001"/>
    <n v="169.60000000000002"/>
    <n v="159.69999999999999"/>
    <n v="191.56"/>
    <n v="159.44"/>
    <n v="148.74"/>
    <n v="157.84"/>
    <n v="161.46666666666667"/>
    <n v="156.74"/>
    <n v="152.76000000000002"/>
    <n v="162.92000000000002"/>
    <n v="147.71999999999997"/>
    <n v="154.69999999999999"/>
    <n v="161.24"/>
    <n v="156.68"/>
    <n v="155.26"/>
    <n v="158.80000000000001"/>
    <n v="2084.64"/>
  </r>
  <r>
    <x v="1"/>
    <x v="2"/>
    <x v="1"/>
    <x v="25"/>
    <n v="4"/>
    <x v="75"/>
    <n v="200.76"/>
    <n v="168.58"/>
    <n v="155.96"/>
    <n v="172.68"/>
    <n v="167.02"/>
    <n v="151.69999999999999"/>
    <n v="164.18"/>
    <n v="114.58"/>
    <n v="165.95999999999998"/>
    <n v="157"/>
    <n v="170.32"/>
    <n v="160.71999999999997"/>
    <n v="192.57999999999998"/>
    <n v="159.66"/>
    <n v="148.13999999999999"/>
    <n v="157.94"/>
    <n v="161.5"/>
    <n v="157.42000000000002"/>
    <n v="152.6"/>
    <n v="163.01999999999998"/>
    <n v="147.16"/>
    <n v="154.14000000000001"/>
    <n v="160.66"/>
    <n v="157.47999999999999"/>
    <n v="155.01999999999998"/>
    <n v="159.35999999999999"/>
    <n v="2095.88"/>
  </r>
  <r>
    <x v="2"/>
    <x v="2"/>
    <x v="1"/>
    <x v="25"/>
    <n v="4"/>
    <x v="76"/>
    <n v="200.28"/>
    <n v="171.16"/>
    <n v="155.97999999999999"/>
    <n v="178.48"/>
    <n v="164.98"/>
    <n v="148.32"/>
    <n v="164.72"/>
    <n v="114.54"/>
    <n v="167.4"/>
    <n v="159.80000000000001"/>
    <n v="170.38000000000002"/>
    <n v="160.41999999999999"/>
    <n v="191.51999999999998"/>
    <n v="161.54000000000002"/>
    <n v="152.26"/>
    <n v="160.18"/>
    <n v="161.53333333333333"/>
    <n v="158.85999999999999"/>
    <n v="154.92000000000002"/>
    <n v="165.45999999999998"/>
    <n v="149.57999999999998"/>
    <n v="156.39999999999998"/>
    <n v="162.5"/>
    <n v="158.04000000000002"/>
    <n v="157.22"/>
    <n v="160.18"/>
    <n v="2102.48"/>
  </r>
  <r>
    <x v="0"/>
    <x v="2"/>
    <x v="2"/>
    <x v="26"/>
    <n v="3"/>
    <x v="77"/>
    <n v="195.42"/>
    <n v="164.3"/>
    <n v="155.19999999999999"/>
    <n v="165.02"/>
    <n v="158.18"/>
    <n v="150.66"/>
    <n v="160.80000000000001"/>
    <n v="113.12"/>
    <n v="163.45999999999998"/>
    <n v="156.23999999999998"/>
    <n v="168.62"/>
    <n v="157.83999999999997"/>
    <n v="189.78"/>
    <n v="157.82"/>
    <n v="147.08000000000001"/>
    <n v="156.23999999999998"/>
    <n v="160.4"/>
    <n v="155.44"/>
    <n v="151.26000000000002"/>
    <n v="161.19999999999999"/>
    <n v="146.6"/>
    <n v="153.34"/>
    <n v="160.66"/>
    <n v="154.6"/>
    <n v="153.92000000000002"/>
    <n v="157.19999999999999"/>
    <n v="2053.7400000000002"/>
  </r>
  <r>
    <x v="1"/>
    <x v="2"/>
    <x v="2"/>
    <x v="26"/>
    <n v="3"/>
    <x v="78"/>
    <n v="197.14"/>
    <n v="164.58"/>
    <n v="155.38"/>
    <n v="165.4"/>
    <n v="160.96"/>
    <n v="151.28"/>
    <n v="161.30000000000001"/>
    <n v="113.4"/>
    <n v="163.44"/>
    <n v="155.64000000000001"/>
    <n v="169.12"/>
    <n v="158.54000000000002"/>
    <n v="190.32000000000002"/>
    <n v="157.66"/>
    <n v="145.9"/>
    <n v="155.91999999999999"/>
    <n v="160.65"/>
    <n v="155.36000000000001"/>
    <n v="150.66"/>
    <n v="160.74"/>
    <n v="145.66"/>
    <n v="152.41999999999999"/>
    <n v="159.95999999999998"/>
    <n v="155.06"/>
    <n v="153.33999999999997"/>
    <n v="157.42000000000002"/>
    <n v="2061.42"/>
  </r>
  <r>
    <x v="2"/>
    <x v="2"/>
    <x v="2"/>
    <x v="26"/>
    <n v="3"/>
    <x v="79"/>
    <n v="197.34"/>
    <n v="165.36"/>
    <n v="155.41999999999999"/>
    <n v="171"/>
    <n v="161.96"/>
    <n v="145.74"/>
    <n v="162.1"/>
    <n v="113.4"/>
    <n v="164.85999999999999"/>
    <n v="158.42000000000002"/>
    <n v="169.01999999999998"/>
    <n v="158.19999999999999"/>
    <n v="189.54"/>
    <n v="159.69999999999999"/>
    <n v="150.28"/>
    <n v="158.30000000000001"/>
    <n v="160.9"/>
    <n v="156.74"/>
    <n v="152.97999999999996"/>
    <n v="163.18"/>
    <n v="147.95999999999998"/>
    <n v="154.69999999999999"/>
    <n v="161.96"/>
    <n v="155.94"/>
    <n v="155.56"/>
    <n v="158.26000000000002"/>
    <n v="2067.58"/>
  </r>
  <r>
    <x v="0"/>
    <x v="2"/>
    <x v="3"/>
    <x v="27"/>
    <n v="2"/>
    <x v="80"/>
    <n v="189.72"/>
    <n v="166.9"/>
    <n v="154.86000000000001"/>
    <n v="159.54"/>
    <n v="152.06"/>
    <n v="159.4"/>
    <n v="159.44"/>
    <n v="113.1"/>
    <n v="163.66000000000003"/>
    <n v="155.19999999999999"/>
    <n v="167.88000000000002"/>
    <n v="157.45999999999998"/>
    <n v="189.54000000000002"/>
    <n v="157.04"/>
    <n v="146.51999999999998"/>
    <n v="155.50000000000003"/>
    <n v="159.83333333333334"/>
    <n v="153.34"/>
    <n v="150.84"/>
    <n v="160.68"/>
    <n v="145.76"/>
    <n v="152.44"/>
    <n v="160.22"/>
    <n v="155.13999999999999"/>
    <n v="153.44"/>
    <n v="156.68"/>
    <n v="2044.1600000000003"/>
  </r>
  <r>
    <x v="1"/>
    <x v="2"/>
    <x v="3"/>
    <x v="27"/>
    <n v="2"/>
    <x v="81"/>
    <n v="191.36"/>
    <n v="166.06"/>
    <n v="154.96"/>
    <n v="159.72"/>
    <n v="153.24"/>
    <n v="159.36000000000001"/>
    <n v="159.74"/>
    <n v="113.26"/>
    <n v="163.35999999999999"/>
    <n v="154.5"/>
    <n v="168.35999999999999"/>
    <n v="157.85999999999999"/>
    <n v="189.86"/>
    <n v="156.78000000000003"/>
    <n v="145.32"/>
    <n v="155.1"/>
    <n v="159.85"/>
    <n v="153.56"/>
    <n v="150.11999999999998"/>
    <n v="160.16"/>
    <n v="144.95999999999998"/>
    <n v="151.56"/>
    <n v="159.54000000000002"/>
    <n v="154.85999999999999"/>
    <n v="152.76"/>
    <n v="156.69999999999999"/>
    <n v="2046.9799999999998"/>
  </r>
  <r>
    <x v="2"/>
    <x v="2"/>
    <x v="3"/>
    <x v="27"/>
    <n v="2"/>
    <x v="82"/>
    <n v="192.22"/>
    <n v="164.76"/>
    <n v="154.94"/>
    <n v="164.48"/>
    <n v="154.56"/>
    <n v="150.34"/>
    <n v="160"/>
    <n v="112.72"/>
    <n v="163.73999999999998"/>
    <n v="157.04"/>
    <n v="167.84"/>
    <n v="156.82"/>
    <n v="188.56"/>
    <n v="158.08000000000001"/>
    <n v="148.69999999999999"/>
    <n v="156.72"/>
    <n v="159.86666666666667"/>
    <n v="154.94"/>
    <n v="151.92000000000002"/>
    <n v="161.95999999999998"/>
    <n v="147.19999999999999"/>
    <n v="153.82"/>
    <n v="161.04"/>
    <n v="154.44"/>
    <n v="154.5"/>
    <n v="156.92000000000002"/>
    <n v="2043.6799999999998"/>
  </r>
  <r>
    <x v="0"/>
    <x v="2"/>
    <x v="4"/>
    <x v="28"/>
    <n v="1"/>
    <x v="83"/>
    <n v="189.52"/>
    <n v="173"/>
    <n v="154.4"/>
    <n v="152.84"/>
    <n v="150.19999999999999"/>
    <n v="183.74"/>
    <n v="160.02000000000001"/>
    <n v="114.28"/>
    <n v="163.80000000000001"/>
    <n v="152.6"/>
    <n v="166.46"/>
    <n v="159.9"/>
    <n v="188.54000000000002"/>
    <n v="155.76"/>
    <n v="145.58000000000001"/>
    <n v="154.28000000000003"/>
    <n v="158.4"/>
    <n v="149.04000000000002"/>
    <n v="150.18"/>
    <n v="159.30000000000001"/>
    <n v="143.4"/>
    <n v="150.88000000000002"/>
    <n v="159.80000000000001"/>
    <n v="156.51999999999998"/>
    <n v="152.37999999999997"/>
    <n v="157"/>
    <n v="2066.1"/>
  </r>
  <r>
    <x v="1"/>
    <x v="2"/>
    <x v="4"/>
    <x v="28"/>
    <n v="1"/>
    <x v="84"/>
    <n v="189.32"/>
    <n v="172.06"/>
    <n v="154.54"/>
    <n v="153.62"/>
    <n v="150.94"/>
    <n v="178.18"/>
    <n v="159.88"/>
    <n v="114.08"/>
    <n v="163.74"/>
    <n v="152.48000000000002"/>
    <n v="167.1"/>
    <n v="159.35999999999999"/>
    <n v="189.27999999999997"/>
    <n v="155.69999999999999"/>
    <n v="144.57999999999998"/>
    <n v="154.07999999999998"/>
    <n v="158.75"/>
    <n v="149.34"/>
    <n v="149.57999999999998"/>
    <n v="159.06"/>
    <n v="142.92000000000002"/>
    <n v="150.16"/>
    <n v="159"/>
    <n v="156.44"/>
    <n v="151.88"/>
    <n v="156.62"/>
    <n v="2060.8199999999997"/>
  </r>
  <r>
    <x v="2"/>
    <x v="2"/>
    <x v="4"/>
    <x v="28"/>
    <n v="1"/>
    <x v="85"/>
    <n v="188.24"/>
    <n v="169.02"/>
    <n v="154.56"/>
    <n v="158.44"/>
    <n v="150.52000000000001"/>
    <n v="165.02"/>
    <n v="159.30000000000001"/>
    <n v="113.16"/>
    <n v="163.94"/>
    <n v="155.42000000000002"/>
    <n v="166.94"/>
    <n v="157.57999999999998"/>
    <n v="188.14"/>
    <n v="157.12"/>
    <n v="148"/>
    <n v="155.82"/>
    <n v="159.1"/>
    <n v="151.95999999999998"/>
    <n v="151.4"/>
    <n v="161.16000000000003"/>
    <n v="145.80000000000001"/>
    <n v="152.64000000000001"/>
    <n v="160.54000000000002"/>
    <n v="155.52000000000001"/>
    <n v="153.82000000000002"/>
    <n v="156.76"/>
    <n v="2046.5600000000002"/>
  </r>
  <r>
    <x v="0"/>
    <x v="3"/>
    <x v="5"/>
    <x v="29"/>
    <n v="12"/>
    <x v="86"/>
    <n v="191.5"/>
    <n v="175.76"/>
    <n v="154.13999999999999"/>
    <n v="147.24"/>
    <n v="148.58000000000001"/>
    <n v="218.24"/>
    <n v="160.56"/>
    <n v="115.38"/>
    <n v="163.18"/>
    <n v="149.57999999999998"/>
    <n v="165.2"/>
    <n v="163.98"/>
    <n v="187.11999999999998"/>
    <n v="154.78"/>
    <n v="144.67999999999998"/>
    <n v="153.30000000000001"/>
    <n v="158.16666666666666"/>
    <n v="145"/>
    <n v="149.64000000000001"/>
    <n v="157.88"/>
    <n v="141.39999999999998"/>
    <n v="149.44"/>
    <n v="159.76000000000002"/>
    <n v="157.1"/>
    <n v="151.36000000000001"/>
    <n v="158.19999999999999"/>
    <n v="2099.54"/>
  </r>
  <r>
    <x v="1"/>
    <x v="3"/>
    <x v="5"/>
    <x v="29"/>
    <n v="12"/>
    <x v="87"/>
    <n v="191.82"/>
    <n v="176.14"/>
    <n v="154.16"/>
    <n v="147.41999999999999"/>
    <n v="149.32"/>
    <n v="212.04"/>
    <n v="160.74"/>
    <n v="115.42"/>
    <n v="163.28"/>
    <n v="149.26"/>
    <n v="165.6"/>
    <n v="163.28"/>
    <n v="187.7"/>
    <n v="154.47999999999999"/>
    <n v="143.57999999999998"/>
    <n v="152.88000000000002"/>
    <n v="158.05000000000001"/>
    <n v="144.83999999999997"/>
    <n v="148.95999999999998"/>
    <n v="157.42000000000002"/>
    <n v="140.5"/>
    <n v="148.57999999999998"/>
    <n v="159.01999999999998"/>
    <n v="157.14000000000001"/>
    <n v="150.69999999999999"/>
    <n v="157.51999999999998"/>
    <n v="2094.7399999999998"/>
  </r>
  <r>
    <x v="2"/>
    <x v="3"/>
    <x v="5"/>
    <x v="29"/>
    <n v="12"/>
    <x v="88"/>
    <n v="189.48"/>
    <n v="174.08"/>
    <n v="154.19999999999999"/>
    <n v="151.88"/>
    <n v="148.94"/>
    <n v="193.8"/>
    <n v="160.1"/>
    <n v="114.36"/>
    <n v="163.9"/>
    <n v="152.6"/>
    <n v="165.54000000000002"/>
    <n v="160.82"/>
    <n v="186.95999999999998"/>
    <n v="155.92000000000002"/>
    <n v="147.02000000000001"/>
    <n v="154.63999999999999"/>
    <n v="157.93333333333334"/>
    <n v="148.13999999999999"/>
    <n v="150.82"/>
    <n v="159.69999999999999"/>
    <n v="143.44"/>
    <n v="151.12"/>
    <n v="160.36000000000001"/>
    <n v="156.6"/>
    <n v="152.76"/>
    <n v="157.48000000000002"/>
    <n v="2074.7199999999998"/>
  </r>
  <r>
    <x v="0"/>
    <x v="3"/>
    <x v="6"/>
    <x v="30"/>
    <n v="11"/>
    <x v="62"/>
    <n v="191.86"/>
    <n v="174.76"/>
    <n v="153.94"/>
    <n v="143.36000000000001"/>
    <n v="148.19999999999999"/>
    <n v="232.72"/>
    <n v="158.47999999999999"/>
    <n v="115.86"/>
    <n v="162.12"/>
    <n v="146.94"/>
    <n v="164.26"/>
    <n v="165.32"/>
    <n v="186.16"/>
    <n v="154.12"/>
    <n v="144.11999999999998"/>
    <n v="152.60000000000002"/>
    <n v="158.13333333333333"/>
    <n v="142.99999999999997"/>
    <n v="149.19999999999999"/>
    <n v="156.82"/>
    <n v="140.71999999999997"/>
    <n v="148.91999999999999"/>
    <n v="159.28"/>
    <n v="157.1"/>
    <n v="150.78"/>
    <n v="158.49999999999997"/>
    <n v="2104.92"/>
  </r>
  <r>
    <x v="1"/>
    <x v="3"/>
    <x v="6"/>
    <x v="30"/>
    <n v="11"/>
    <x v="89"/>
    <n v="192.34"/>
    <n v="175.5"/>
    <n v="154"/>
    <n v="143.6"/>
    <n v="148.44"/>
    <n v="234.38"/>
    <n v="159.34"/>
    <n v="115.94"/>
    <n v="162.32"/>
    <n v="146.78000000000003"/>
    <n v="164.68"/>
    <n v="165.72"/>
    <n v="186.56"/>
    <n v="153.85999999999999"/>
    <n v="142.99999999999997"/>
    <n v="152.22"/>
    <n v="158.19999999999999"/>
    <n v="142.42000000000002"/>
    <n v="148.57999999999998"/>
    <n v="156.4"/>
    <n v="139.64000000000001"/>
    <n v="147.9"/>
    <n v="158.83999999999997"/>
    <n v="157.28"/>
    <n v="150.11999999999998"/>
    <n v="158.32"/>
    <n v="2110.2599999999998"/>
  </r>
  <r>
    <x v="2"/>
    <x v="3"/>
    <x v="6"/>
    <x v="30"/>
    <n v="11"/>
    <x v="90"/>
    <n v="190.74"/>
    <n v="174.8"/>
    <n v="154.02000000000001"/>
    <n v="146.96"/>
    <n v="147.74"/>
    <n v="222.88"/>
    <n v="159.5"/>
    <n v="115.26"/>
    <n v="162.94"/>
    <n v="149.69999999999999"/>
    <n v="164.51999999999998"/>
    <n v="164.24"/>
    <n v="185.71999999999997"/>
    <n v="155.14000000000001"/>
    <n v="146.19999999999999"/>
    <n v="153.82000000000002"/>
    <n v="158.26666666666665"/>
    <n v="145.13999999999999"/>
    <n v="150.33999999999997"/>
    <n v="158.5"/>
    <n v="142.1"/>
    <n v="150.04000000000002"/>
    <n v="160.26"/>
    <n v="156.94"/>
    <n v="151.97999999999999"/>
    <n v="158.68"/>
    <n v="2099.2600000000002"/>
  </r>
  <r>
    <x v="0"/>
    <x v="3"/>
    <x v="7"/>
    <x v="31"/>
    <n v="10"/>
    <x v="91"/>
    <n v="190.6"/>
    <n v="166.78"/>
    <n v="153.72"/>
    <n v="140.36000000000001"/>
    <n v="150.22"/>
    <n v="220.66"/>
    <n v="153.6"/>
    <n v="116.34"/>
    <n v="161.32"/>
    <n v="144.42000000000002"/>
    <n v="163.54000000000002"/>
    <n v="163.16"/>
    <n v="185.58"/>
    <n v="153.46"/>
    <n v="143.73999999999998"/>
    <n v="151.98000000000002"/>
    <n v="157"/>
    <n v="142.35999999999999"/>
    <n v="148.74"/>
    <n v="155.84"/>
    <n v="140.74"/>
    <n v="147.78"/>
    <n v="158.94"/>
    <n v="157.07999999999998"/>
    <n v="150.4"/>
    <n v="157.12000000000003"/>
    <n v="2072.56"/>
  </r>
  <r>
    <x v="1"/>
    <x v="3"/>
    <x v="7"/>
    <x v="31"/>
    <n v="10"/>
    <x v="92"/>
    <n v="191.54"/>
    <n v="169.66"/>
    <n v="153.76"/>
    <n v="140.38"/>
    <n v="150.46"/>
    <n v="226.54"/>
    <n v="154.9"/>
    <n v="116.42"/>
    <n v="161.5"/>
    <n v="144.24"/>
    <n v="163.92"/>
    <n v="164.18"/>
    <n v="186"/>
    <n v="153.18"/>
    <n v="142.6"/>
    <n v="151.54000000000002"/>
    <n v="157.25"/>
    <n v="141.72"/>
    <n v="148.17999999999998"/>
    <n v="155.38000000000002"/>
    <n v="139.54"/>
    <n v="146.97999999999999"/>
    <n v="158.16"/>
    <n v="157.22"/>
    <n v="149.68"/>
    <n v="157.30000000000001"/>
    <n v="2085.5"/>
  </r>
  <r>
    <x v="2"/>
    <x v="3"/>
    <x v="7"/>
    <x v="31"/>
    <n v="10"/>
    <x v="64"/>
    <n v="190.5"/>
    <n v="171.38"/>
    <n v="153.82"/>
    <n v="143.24"/>
    <n v="148.5"/>
    <n v="226.38"/>
    <n v="156.36000000000001"/>
    <n v="115.68"/>
    <n v="161.94"/>
    <n v="147.07999999999998"/>
    <n v="163.68"/>
    <n v="164.2"/>
    <n v="184.98"/>
    <n v="154.48000000000002"/>
    <n v="145.69999999999999"/>
    <n v="153.14000000000001"/>
    <n v="157.5"/>
    <n v="144.04000000000002"/>
    <n v="149.83999999999997"/>
    <n v="157.50000000000003"/>
    <n v="141.73999999999998"/>
    <n v="149.35999999999999"/>
    <n v="159.6"/>
    <n v="156.92000000000002"/>
    <n v="151.48000000000002"/>
    <n v="158.4"/>
    <n v="2089.56"/>
  </r>
  <r>
    <x v="0"/>
    <x v="3"/>
    <x v="8"/>
    <x v="32"/>
    <n v="9"/>
    <x v="93"/>
    <n v="188.82"/>
    <n v="156.66"/>
    <n v="153.63999999999999"/>
    <n v="138.26"/>
    <n v="151.24"/>
    <n v="198.82"/>
    <n v="150.47999999999999"/>
    <n v="116.76"/>
    <n v="160.68"/>
    <n v="142.38000000000002"/>
    <n v="163.11999999999998"/>
    <n v="159.88"/>
    <n v="185.48000000000002"/>
    <n v="153.04000000000002"/>
    <n v="143.44"/>
    <n v="151.6"/>
    <n v="156.36666666666667"/>
    <n v="142.07999999999998"/>
    <n v="148.56"/>
    <n v="155.04000000000002"/>
    <n v="140.21999999999997"/>
    <n v="147.12"/>
    <n v="158.34"/>
    <n v="157.97999999999999"/>
    <n v="150.04000000000002"/>
    <n v="155.35999999999999"/>
    <n v="2029.42"/>
  </r>
  <r>
    <x v="1"/>
    <x v="3"/>
    <x v="8"/>
    <x v="32"/>
    <n v="9"/>
    <x v="94"/>
    <n v="189.82"/>
    <n v="159.04"/>
    <n v="153.68"/>
    <n v="138.19999999999999"/>
    <n v="152.08000000000001"/>
    <n v="204.9"/>
    <n v="150.80000000000001"/>
    <n v="116.98"/>
    <n v="160.88000000000002"/>
    <n v="142.1"/>
    <n v="163.44"/>
    <n v="160.94"/>
    <n v="185.76"/>
    <n v="152.69999999999999"/>
    <n v="142.38000000000002"/>
    <n v="151.14000000000001"/>
    <n v="156.4"/>
    <n v="141.42000000000002"/>
    <n v="147.98000000000002"/>
    <n v="154.48000000000002"/>
    <n v="139.42000000000002"/>
    <n v="145.85999999999999"/>
    <n v="157.82"/>
    <n v="157.9"/>
    <n v="149.38"/>
    <n v="155.56"/>
    <n v="2041.66"/>
  </r>
  <r>
    <x v="2"/>
    <x v="3"/>
    <x v="8"/>
    <x v="32"/>
    <n v="9"/>
    <x v="95"/>
    <n v="188.92"/>
    <n v="161.9"/>
    <n v="153.66"/>
    <n v="140.4"/>
    <n v="150.30000000000001"/>
    <n v="208.94"/>
    <n v="151.82"/>
    <n v="116.18"/>
    <n v="161.1"/>
    <n v="144.56"/>
    <n v="163.1"/>
    <n v="161.35999999999999"/>
    <n v="184.7"/>
    <n v="153.91999999999999"/>
    <n v="145.32"/>
    <n v="152.62"/>
    <n v="156.43333333333334"/>
    <n v="143.48000000000002"/>
    <n v="149.45999999999998"/>
    <n v="156.56"/>
    <n v="141.62"/>
    <n v="148.22"/>
    <n v="159.16000000000003"/>
    <n v="157.18"/>
    <n v="151.07999999999998"/>
    <n v="156.71999999999997"/>
    <n v="2049.8199999999997"/>
  </r>
  <r>
    <x v="0"/>
    <x v="3"/>
    <x v="9"/>
    <x v="33"/>
    <n v="8"/>
    <x v="96"/>
    <n v="190.58"/>
    <n v="152.1"/>
    <n v="153.46"/>
    <n v="137.08000000000001"/>
    <n v="150.84"/>
    <n v="184.36"/>
    <n v="150.34"/>
    <n v="116.02"/>
    <n v="160.18"/>
    <n v="140.74"/>
    <n v="162.62"/>
    <n v="157.92000000000002"/>
    <n v="184.45999999999998"/>
    <n v="152.76"/>
    <n v="142.82"/>
    <n v="151.30000000000001"/>
    <n v="155.76666666666668"/>
    <n v="142.14000000000001"/>
    <n v="148.35999999999999"/>
    <n v="154.32"/>
    <n v="139.14000000000001"/>
    <n v="146.80000000000001"/>
    <n v="158.54"/>
    <n v="156.06"/>
    <n v="149.30000000000001"/>
    <n v="154.18"/>
    <n v="2005.5400000000004"/>
  </r>
  <r>
    <x v="1"/>
    <x v="3"/>
    <x v="9"/>
    <x v="33"/>
    <n v="8"/>
    <x v="97"/>
    <n v="190.56"/>
    <n v="152.91999999999999"/>
    <n v="153.52000000000001"/>
    <n v="136.76"/>
    <n v="151.63999999999999"/>
    <n v="187.5"/>
    <n v="150.32"/>
    <n v="116.46"/>
    <n v="160.24"/>
    <n v="140.48000000000002"/>
    <n v="162.9"/>
    <n v="158.45999999999998"/>
    <n v="185.15999999999997"/>
    <n v="152.42000000000002"/>
    <n v="141.82"/>
    <n v="150.84"/>
    <n v="155.9"/>
    <n v="141.56"/>
    <n v="147.71999999999997"/>
    <n v="153.68"/>
    <n v="138.34"/>
    <n v="145.68"/>
    <n v="157.5"/>
    <n v="157.02000000000001"/>
    <n v="148.69999999999999"/>
    <n v="154.18"/>
    <n v="2011.22"/>
  </r>
  <r>
    <x v="2"/>
    <x v="3"/>
    <x v="9"/>
    <x v="33"/>
    <n v="8"/>
    <x v="98"/>
    <n v="188.26"/>
    <n v="153.86000000000001"/>
    <n v="153.56"/>
    <n v="138.6"/>
    <n v="150.18"/>
    <n v="189.24"/>
    <n v="150.12"/>
    <n v="116.16"/>
    <n v="160.42000000000002"/>
    <n v="142.66"/>
    <n v="162.61999999999998"/>
    <n v="158.40000000000003"/>
    <n v="184.26"/>
    <n v="153.56"/>
    <n v="144.90000000000003"/>
    <n v="152.28"/>
    <n v="156.03333333333333"/>
    <n v="143.26"/>
    <n v="149.21999999999997"/>
    <n v="155.84"/>
    <n v="140.84"/>
    <n v="147.92000000000002"/>
    <n v="158.9"/>
    <n v="157.22000000000003"/>
    <n v="150.6"/>
    <n v="155.1"/>
    <n v="2012.42"/>
  </r>
  <r>
    <x v="0"/>
    <x v="3"/>
    <x v="10"/>
    <x v="34"/>
    <n v="7"/>
    <x v="99"/>
    <n v="193"/>
    <n v="151.66"/>
    <n v="153.34"/>
    <n v="136.12"/>
    <n v="148.72"/>
    <n v="167.9"/>
    <n v="150.88"/>
    <n v="114.94"/>
    <n v="159.62"/>
    <n v="139.42000000000002"/>
    <n v="162.01999999999998"/>
    <n v="155.69999999999999"/>
    <n v="184.14000000000001"/>
    <n v="152.28"/>
    <n v="143.1"/>
    <n v="150.95999999999998"/>
    <n v="154.96666666666667"/>
    <n v="141.6"/>
    <n v="146.97999999999999"/>
    <n v="153.64000000000001"/>
    <n v="136.64000000000001"/>
    <n v="147.88000000000002"/>
    <n v="157.78000000000003"/>
    <n v="152.76"/>
    <n v="147.69999999999999"/>
    <n v="152.57999999999998"/>
    <n v="1983.26"/>
  </r>
  <r>
    <x v="1"/>
    <x v="3"/>
    <x v="10"/>
    <x v="34"/>
    <n v="7"/>
    <x v="100"/>
    <n v="193.12"/>
    <n v="151.94"/>
    <n v="153.34"/>
    <n v="135.96"/>
    <n v="150.16"/>
    <n v="173.74"/>
    <n v="150.9"/>
    <n v="115.32"/>
    <n v="159.66"/>
    <n v="139.12"/>
    <n v="162.11999999999998"/>
    <n v="156.64000000000001"/>
    <n v="184.18"/>
    <n v="151.96"/>
    <n v="141.78"/>
    <n v="150.48000000000002"/>
    <n v="155.1"/>
    <n v="141.22"/>
    <n v="146.32"/>
    <n v="153"/>
    <n v="136.06"/>
    <n v="146.44"/>
    <n v="157.11999999999998"/>
    <n v="153.37999999999997"/>
    <n v="147.16"/>
    <n v="152.82"/>
    <n v="1992.1000000000001"/>
  </r>
  <r>
    <x v="2"/>
    <x v="3"/>
    <x v="10"/>
    <x v="34"/>
    <n v="7"/>
    <x v="101"/>
    <n v="190.5"/>
    <n v="150.91999999999999"/>
    <n v="153.34"/>
    <n v="137.46"/>
    <n v="149.19999999999999"/>
    <n v="175.26"/>
    <n v="150.36000000000001"/>
    <n v="115.08"/>
    <n v="159.9"/>
    <n v="141.07999999999998"/>
    <n v="162.10000000000002"/>
    <n v="156.46"/>
    <n v="183.42"/>
    <n v="153.22"/>
    <n v="144.44"/>
    <n v="151.96"/>
    <n v="155.23333333333332"/>
    <n v="143.07999999999998"/>
    <n v="148.56"/>
    <n v="155.20000000000002"/>
    <n v="139.12"/>
    <n v="148.1"/>
    <n v="158.84"/>
    <n v="154.42000000000002"/>
    <n v="149.5"/>
    <n v="153.73999999999998"/>
    <n v="1990.58"/>
  </r>
  <r>
    <x v="0"/>
    <x v="3"/>
    <x v="11"/>
    <x v="35"/>
    <n v="6"/>
    <x v="102"/>
    <n v="193.46"/>
    <n v="151.88"/>
    <n v="153.34"/>
    <n v="135.69999999999999"/>
    <n v="147.44"/>
    <n v="159.34"/>
    <n v="151.1"/>
    <n v="114.64"/>
    <n v="159.34"/>
    <n v="138.96"/>
    <n v="161.76"/>
    <n v="154.52000000000001"/>
    <n v="184.34"/>
    <n v="152.02000000000001"/>
    <n v="143.52000000000001"/>
    <n v="150.80000000000001"/>
    <n v="154.69999999999999"/>
    <n v="141.18"/>
    <n v="146.12"/>
    <n v="153.39999999999998"/>
    <n v="135.28000000000003"/>
    <n v="148.74"/>
    <n v="157"/>
    <n v="151.68"/>
    <n v="146.88"/>
    <n v="151.76"/>
    <n v="1971.76"/>
  </r>
  <r>
    <x v="1"/>
    <x v="3"/>
    <x v="11"/>
    <x v="35"/>
    <n v="6"/>
    <x v="103"/>
    <n v="193.94"/>
    <n v="152.28"/>
    <n v="153.34"/>
    <n v="135.32"/>
    <n v="148.24"/>
    <n v="160.86000000000001"/>
    <n v="151.22"/>
    <n v="114.84"/>
    <n v="159.28000000000003"/>
    <n v="138.42000000000002"/>
    <n v="161.76"/>
    <n v="154.85999999999999"/>
    <n v="184.56"/>
    <n v="151.57999999999998"/>
    <n v="142.4"/>
    <n v="150.26000000000002"/>
    <n v="154.69999999999999"/>
    <n v="140.57999999999998"/>
    <n v="145.06"/>
    <n v="152.63999999999999"/>
    <n v="134"/>
    <n v="147.76"/>
    <n v="155.92000000000002"/>
    <n v="151.76"/>
    <n v="145.94"/>
    <n v="151.58000000000001"/>
    <n v="1974.9199999999998"/>
  </r>
  <r>
    <x v="2"/>
    <x v="3"/>
    <x v="11"/>
    <x v="35"/>
    <n v="6"/>
    <x v="104"/>
    <n v="191.98"/>
    <n v="151.04"/>
    <n v="153.32"/>
    <n v="136.69999999999999"/>
    <n v="147.26"/>
    <n v="160.82"/>
    <n v="150.80000000000001"/>
    <n v="114.42"/>
    <n v="159.52000000000001"/>
    <n v="140"/>
    <n v="161.72"/>
    <n v="154.51999999999998"/>
    <n v="183.39999999999998"/>
    <n v="152.78"/>
    <n v="144.94"/>
    <n v="151.68"/>
    <n v="154.69999999999999"/>
    <n v="142.32"/>
    <n v="147.35999999999999"/>
    <n v="154.78000000000003"/>
    <n v="136.86000000000001"/>
    <n v="149.30000000000001"/>
    <n v="157.95999999999998"/>
    <n v="152.04"/>
    <n v="148.14000000000001"/>
    <n v="152.35999999999999"/>
    <n v="1971.6399999999999"/>
  </r>
  <r>
    <x v="0"/>
    <x v="3"/>
    <x v="0"/>
    <x v="36"/>
    <n v="5"/>
    <x v="105"/>
    <n v="193.65"/>
    <n v="152"/>
    <n v="153.35"/>
    <n v="135.55000000000001"/>
    <n v="147.5"/>
    <n v="160.05000000000001"/>
    <n v="151.15"/>
    <n v="114.75"/>
    <n v="159.30000000000001"/>
    <n v="138.85"/>
    <n v="161.75"/>
    <n v="154.65"/>
    <n v="184.55"/>
    <n v="151.89999999999998"/>
    <n v="143.30000000000001"/>
    <n v="150.64999999999998"/>
    <n v="154.69999999999999"/>
    <n v="141"/>
    <n v="146.05000000000001"/>
    <n v="153.14999999999998"/>
    <n v="135.35000000000002"/>
    <n v="148.85"/>
    <n v="157.15"/>
    <n v="151.69999999999999"/>
    <n v="146.85"/>
    <n v="151.75"/>
    <n v="1973"/>
  </r>
  <r>
    <x v="1"/>
    <x v="3"/>
    <x v="0"/>
    <x v="36"/>
    <n v="5"/>
    <x v="106"/>
    <n v="193.33333329999999"/>
    <n v="151.80000000000001"/>
    <n v="153.33333329999999"/>
    <n v="135.80000000000001"/>
    <n v="147.4"/>
    <n v="158.8666667"/>
    <n v="151.06666670000001"/>
    <n v="114.5666667"/>
    <n v="159.36666666666667"/>
    <n v="139.03333333333333"/>
    <n v="161.76666666666668"/>
    <n v="154.43333333333334"/>
    <n v="184.20000000000002"/>
    <n v="152.1"/>
    <n v="143.66666666666666"/>
    <n v="150.89999999999998"/>
    <n v="154.69999999999999"/>
    <n v="141.29999999999998"/>
    <n v="146.16666666666666"/>
    <n v="153.56666666666663"/>
    <n v="135.23333333333335"/>
    <n v="148.66666666666666"/>
    <n v="156.9"/>
    <n v="151.66666666666666"/>
    <n v="146.9"/>
    <n v="151.76666666666668"/>
    <n v="1970.9333334"/>
  </r>
  <r>
    <x v="2"/>
    <x v="3"/>
    <x v="0"/>
    <x v="36"/>
    <n v="5"/>
    <x v="107"/>
    <n v="192.57499999999999"/>
    <n v="151.19999999999999"/>
    <n v="153.32499999999999"/>
    <n v="136.4"/>
    <n v="146.35"/>
    <n v="156.375"/>
    <n v="150.875"/>
    <n v="114.22499999999999"/>
    <n v="159.47500000000002"/>
    <n v="139.80000000000001"/>
    <n v="161.77500000000001"/>
    <n v="153.9"/>
    <n v="183.75"/>
    <n v="152.75"/>
    <n v="145.25"/>
    <n v="151.69999999999999"/>
    <n v="154.69999999999999"/>
    <n v="142.19999999999999"/>
    <n v="147.55000000000001"/>
    <n v="154.72499999999997"/>
    <n v="136.77500000000001"/>
    <n v="149.80000000000001"/>
    <n v="158.125"/>
    <n v="151.55000000000001"/>
    <n v="148.1"/>
    <n v="152"/>
    <n v="1965.95"/>
  </r>
  <r>
    <x v="0"/>
    <x v="3"/>
    <x v="1"/>
    <x v="37"/>
    <n v="4"/>
    <x v="108"/>
    <n v="167"/>
    <n v="149.19999999999999"/>
    <n v="155.56666670000001"/>
    <n v="134.6"/>
    <n v="150.03333330000001"/>
    <n v="170.43333329999999"/>
    <n v="150.46666669999999"/>
    <n v="120.4333333"/>
    <n v="156.6"/>
    <n v="136.5"/>
    <n v="160"/>
    <n v="151.66666666666666"/>
    <n v="171.2"/>
    <n v="151.19999999999999"/>
    <n v="142"/>
    <n v="149.80000000000001"/>
    <n v="155.6"/>
    <n v="143.20000000000002"/>
    <n v="146.4"/>
    <n v="149.93333333333334"/>
    <n v="130"/>
    <n v="143.69999999999999"/>
    <n v="156.1"/>
    <n v="145.19999999999999"/>
    <n v="143.80000000000001"/>
    <n v="148.6"/>
    <n v="1951.7333332666665"/>
  </r>
  <r>
    <x v="1"/>
    <x v="3"/>
    <x v="1"/>
    <x v="37"/>
    <n v="4"/>
    <x v="109"/>
    <n v="167"/>
    <n v="150.35"/>
    <n v="155.55000000000001"/>
    <n v="133.35"/>
    <n v="151.4"/>
    <n v="174.3"/>
    <n v="150.6"/>
    <n v="120.75"/>
    <n v="155.55000000000001"/>
    <n v="135.15"/>
    <n v="160"/>
    <n v="152.44999999999999"/>
    <n v="171.2"/>
    <n v="151.19999999999999"/>
    <n v="142"/>
    <n v="149.80000000000001"/>
    <n v="155.6"/>
    <n v="140.6"/>
    <n v="146.4"/>
    <n v="147.75"/>
    <n v="130"/>
    <n v="143.69999999999999"/>
    <n v="156.1"/>
    <n v="145.19999999999999"/>
    <n v="143.80000000000001"/>
    <n v="148.6"/>
    <n v="1956.7"/>
  </r>
  <r>
    <x v="2"/>
    <x v="3"/>
    <x v="1"/>
    <x v="37"/>
    <n v="4"/>
    <x v="110"/>
    <n v="190.3"/>
    <n v="149.1"/>
    <n v="154.44999999999999"/>
    <n v="136.65"/>
    <n v="146.55000000000001"/>
    <n v="158.75"/>
    <n v="150.35"/>
    <n v="116.75"/>
    <n v="158.44999999999999"/>
    <n v="139.44999999999999"/>
    <n v="161.80000000000001"/>
    <n v="151.85000000000002"/>
    <n v="182.4"/>
    <n v="154.69999999999999"/>
    <n v="150"/>
    <n v="154.1"/>
    <n v="155.6"/>
    <n v="144.5"/>
    <n v="151.69999999999999"/>
    <n v="154.44999999999999"/>
    <n v="141.4"/>
    <n v="153.19999999999999"/>
    <n v="161.80000000000001"/>
    <n v="151.19999999999999"/>
    <n v="151.69999999999999"/>
    <n v="152.69999999999999"/>
    <n v="1962.9"/>
  </r>
  <r>
    <x v="0"/>
    <x v="3"/>
    <x v="2"/>
    <x v="38"/>
    <n v="3"/>
    <x v="71"/>
    <n v="167.1"/>
    <n v="148.68"/>
    <n v="153.08000000000001"/>
    <n v="132.13999999999999"/>
    <n v="145.56"/>
    <n v="163.86"/>
    <n v="144.72"/>
    <n v="116.24"/>
    <n v="154.28"/>
    <n v="136.28"/>
    <n v="159.56666666666669"/>
    <n v="150.16"/>
    <n v="171.66666666666666"/>
    <n v="150.76666666666668"/>
    <n v="141.1"/>
    <n v="149.30000000000001"/>
    <n v="154.86666666666667"/>
    <n v="145.84"/>
    <n v="146.23333333333335"/>
    <n v="150.61999999999998"/>
    <n v="130.1"/>
    <n v="144.26666666666668"/>
    <n v="156.6"/>
    <n v="145.19999999999999"/>
    <n v="143.69999999999999"/>
    <n v="148.56666666666669"/>
    <n v="1918.6666666666667"/>
  </r>
  <r>
    <x v="1"/>
    <x v="3"/>
    <x v="2"/>
    <x v="38"/>
    <n v="3"/>
    <x v="111"/>
    <n v="167.25"/>
    <n v="148.91999999999999"/>
    <n v="153.86000000000001"/>
    <n v="132.5"/>
    <n v="147.18"/>
    <n v="167.12"/>
    <n v="146.44"/>
    <n v="117.78"/>
    <n v="154.9"/>
    <n v="135.61999999999998"/>
    <n v="159.35"/>
    <n v="150.80000000000001"/>
    <n v="172.25"/>
    <n v="149.44999999999999"/>
    <n v="137.85000000000002"/>
    <n v="147.69999999999999"/>
    <n v="155.05000000000001"/>
    <n v="143.98000000000002"/>
    <n v="143.60000000000002"/>
    <n v="149.42000000000002"/>
    <n v="127.25"/>
    <n v="140.80000000000001"/>
    <n v="154.30000000000001"/>
    <n v="145.25"/>
    <n v="141.25"/>
    <n v="147.94999999999999"/>
    <n v="1929.58"/>
  </r>
  <r>
    <x v="2"/>
    <x v="3"/>
    <x v="2"/>
    <x v="38"/>
    <n v="3"/>
    <x v="112"/>
    <n v="167"/>
    <n v="148.92500000000001"/>
    <n v="154.55000000000001"/>
    <n v="133.75"/>
    <n v="148.15"/>
    <n v="167.15"/>
    <n v="148.125"/>
    <n v="118.625"/>
    <n v="155.75"/>
    <n v="136.55000000000001"/>
    <n v="159.6"/>
    <n v="150.97499999999999"/>
    <n v="171.2"/>
    <n v="151.19999999999999"/>
    <n v="141.9"/>
    <n v="149.80000000000001"/>
    <n v="155.23333333333335"/>
    <n v="144.625"/>
    <n v="146.4"/>
    <n v="150.52500000000001"/>
    <n v="129.9"/>
    <n v="143.69999999999999"/>
    <n v="156.1"/>
    <n v="145.19999999999999"/>
    <n v="143.80000000000001"/>
    <n v="148.6"/>
    <n v="1937.3499999999997"/>
  </r>
  <r>
    <x v="0"/>
    <x v="3"/>
    <x v="3"/>
    <x v="39"/>
    <n v="2"/>
    <x v="113"/>
    <n v="167.38"/>
    <n v="150.46"/>
    <n v="151.04"/>
    <n v="130.66"/>
    <n v="142.13999999999999"/>
    <n v="167.36"/>
    <n v="140.80000000000001"/>
    <n v="113.66"/>
    <n v="152.14000000000001"/>
    <n v="136.02000000000001"/>
    <n v="159.28"/>
    <n v="150.06"/>
    <n v="171.06"/>
    <n v="150.44"/>
    <n v="140.82"/>
    <n v="149.02000000000001"/>
    <n v="154.70000000000002"/>
    <n v="146.64000000000001"/>
    <n v="146.18"/>
    <n v="150.80000000000001"/>
    <n v="130.38"/>
    <n v="144.07999999999998"/>
    <n v="156.80000000000001"/>
    <n v="144.14000000000001"/>
    <n v="143.54000000000002"/>
    <n v="148.85999999999999"/>
    <n v="1906.22"/>
  </r>
  <r>
    <x v="1"/>
    <x v="3"/>
    <x v="3"/>
    <x v="39"/>
    <n v="2"/>
    <x v="114"/>
    <n v="167.28"/>
    <n v="149.9"/>
    <n v="151.16"/>
    <n v="130.16"/>
    <n v="142.5"/>
    <n v="165.8"/>
    <n v="140.66"/>
    <n v="113.68"/>
    <n v="152.21999999999997"/>
    <n v="135.34"/>
    <n v="159.36000000000001"/>
    <n v="149.88"/>
    <n v="171.42000000000002"/>
    <n v="150.08000000000001"/>
    <n v="139.69999999999999"/>
    <n v="148.51999999999998"/>
    <n v="154.65"/>
    <n v="145.95999999999998"/>
    <n v="145.1"/>
    <n v="150.01999999999998"/>
    <n v="129.16"/>
    <n v="142.74"/>
    <n v="155.63999999999999"/>
    <n v="144.5"/>
    <n v="142.61999999999998"/>
    <n v="148.5"/>
    <n v="1903.3400000000001"/>
  </r>
  <r>
    <x v="2"/>
    <x v="3"/>
    <x v="3"/>
    <x v="39"/>
    <n v="2"/>
    <x v="115"/>
    <n v="167.2"/>
    <n v="148.66"/>
    <n v="152.13999999999999"/>
    <n v="132.1"/>
    <n v="143.34"/>
    <n v="162"/>
    <n v="142.78"/>
    <n v="114.72"/>
    <n v="153.88000000000002"/>
    <n v="136.88000000000002"/>
    <n v="159.45000000000002"/>
    <n v="149.56"/>
    <n v="171.27500000000003"/>
    <n v="150.77500000000001"/>
    <n v="141.25"/>
    <n v="149.35000000000002"/>
    <n v="154.6"/>
    <n v="147.85999999999999"/>
    <n v="146.27500000000001"/>
    <n v="152"/>
    <n v="130.15"/>
    <n v="144"/>
    <n v="156.5"/>
    <n v="144.75"/>
    <n v="143.67500000000001"/>
    <n v="148.69999999999999"/>
    <n v="1908.3100000000002"/>
  </r>
  <r>
    <x v="0"/>
    <x v="3"/>
    <x v="4"/>
    <x v="40"/>
    <n v="1"/>
    <x v="116"/>
    <n v="167.48"/>
    <n v="153.88"/>
    <n v="150.30000000000001"/>
    <n v="129.86000000000001"/>
    <n v="142.72"/>
    <n v="188.62"/>
    <n v="140.4"/>
    <n v="114.08"/>
    <n v="151.04"/>
    <n v="135.69999999999999"/>
    <n v="158.80000000000001"/>
    <n v="152.48000000000002"/>
    <n v="170"/>
    <n v="150.11999999999998"/>
    <n v="140.62"/>
    <n v="148.74"/>
    <n v="154.20000000000002"/>
    <n v="144.26000000000002"/>
    <n v="146.04"/>
    <n v="150.26"/>
    <n v="130.9"/>
    <n v="143.64000000000001"/>
    <n v="156.80000000000001"/>
    <n v="142.76000000000002"/>
    <n v="143.33999999999997"/>
    <n v="149.68"/>
    <n v="1930.16"/>
  </r>
  <r>
    <x v="1"/>
    <x v="3"/>
    <x v="4"/>
    <x v="40"/>
    <n v="1"/>
    <x v="88"/>
    <n v="167.52"/>
    <n v="153.54"/>
    <n v="150.36000000000001"/>
    <n v="129.74"/>
    <n v="142.63999999999999"/>
    <n v="184.46"/>
    <n v="140.4"/>
    <n v="114.04"/>
    <n v="151.12"/>
    <n v="135.06"/>
    <n v="158.88"/>
    <n v="151.97999999999999"/>
    <n v="170.3"/>
    <n v="149.71999999999997"/>
    <n v="139.48000000000002"/>
    <n v="148.22"/>
    <n v="154.35000000000002"/>
    <n v="143.61999999999998"/>
    <n v="144.97999999999999"/>
    <n v="149.45999999999998"/>
    <n v="129.69999999999999"/>
    <n v="142.26"/>
    <n v="155.69999999999999"/>
    <n v="142.94"/>
    <n v="142.44"/>
    <n v="149.12"/>
    <n v="1924.7600000000002"/>
  </r>
  <r>
    <x v="2"/>
    <x v="3"/>
    <x v="4"/>
    <x v="40"/>
    <n v="1"/>
    <x v="117"/>
    <n v="167.36"/>
    <n v="151.66"/>
    <n v="150.84"/>
    <n v="131.13999999999999"/>
    <n v="142.12"/>
    <n v="173.36"/>
    <n v="140.94"/>
    <n v="113.6"/>
    <n v="152.02000000000001"/>
    <n v="136.86000000000001"/>
    <n v="159.18"/>
    <n v="150.74"/>
    <n v="170.24"/>
    <n v="151"/>
    <n v="142.36000000000001"/>
    <n v="149.74"/>
    <n v="154.50000000000003"/>
    <n v="147.28"/>
    <n v="147.26"/>
    <n v="152.04000000000002"/>
    <n v="131.64000000000001"/>
    <n v="145.06"/>
    <n v="157.51999999999998"/>
    <n v="143.54000000000002"/>
    <n v="144.48000000000002"/>
    <n v="149.44"/>
    <n v="1914.6"/>
  </r>
  <r>
    <x v="0"/>
    <x v="4"/>
    <x v="5"/>
    <x v="41"/>
    <n v="12"/>
    <x v="118"/>
    <n v="165.94"/>
    <n v="152.96"/>
    <n v="148.86000000000001"/>
    <n v="126.84"/>
    <n v="144.76"/>
    <n v="211.46"/>
    <n v="138.9"/>
    <n v="114.18"/>
    <n v="149.38"/>
    <n v="135.34"/>
    <n v="158.24"/>
    <n v="154.6"/>
    <n v="169.22000000000003"/>
    <n v="149.9"/>
    <n v="140.4"/>
    <n v="148.5"/>
    <n v="153.16666666666666"/>
    <n v="142.54000000000002"/>
    <n v="145.72"/>
    <n v="149.57999999999998"/>
    <n v="130.47999999999999"/>
    <n v="143.18"/>
    <n v="156.5"/>
    <n v="141.16"/>
    <n v="142.76"/>
    <n v="150.21999999999997"/>
    <n v="1945.56"/>
  </r>
  <r>
    <x v="1"/>
    <x v="4"/>
    <x v="5"/>
    <x v="41"/>
    <n v="12"/>
    <x v="119"/>
    <n v="166.36"/>
    <n v="154.04"/>
    <n v="149.13999999999999"/>
    <n v="127.32"/>
    <n v="144.54"/>
    <n v="208.96"/>
    <n v="139.22"/>
    <n v="114.28"/>
    <n v="149.73999999999998"/>
    <n v="134.69999999999999"/>
    <n v="158.30000000000001"/>
    <n v="154.44"/>
    <n v="169.5"/>
    <n v="149.48000000000002"/>
    <n v="139.24"/>
    <n v="147.95999999999998"/>
    <n v="153.35"/>
    <n v="141.47999999999999"/>
    <n v="144.71999999999997"/>
    <n v="148.85999999999999"/>
    <n v="129.66"/>
    <n v="141.84"/>
    <n v="155.5"/>
    <n v="141.5"/>
    <n v="142.01999999999998"/>
    <n v="149.80000000000001"/>
    <n v="1945.44"/>
  </r>
  <r>
    <x v="2"/>
    <x v="4"/>
    <x v="5"/>
    <x v="41"/>
    <n v="12"/>
    <x v="120"/>
    <n v="166.96"/>
    <n v="153.47999999999999"/>
    <n v="149.82"/>
    <n v="129.52000000000001"/>
    <n v="143.24"/>
    <n v="195.68"/>
    <n v="140.13999999999999"/>
    <n v="113.96"/>
    <n v="150.69999999999999"/>
    <n v="136.56"/>
    <n v="158.6"/>
    <n v="153.14000000000001"/>
    <n v="169.3"/>
    <n v="150.72"/>
    <n v="142.18"/>
    <n v="149.5"/>
    <n v="153.53333333333333"/>
    <n v="145.22000000000003"/>
    <n v="147.11999999999998"/>
    <n v="151.45999999999998"/>
    <n v="131.82"/>
    <n v="144.56"/>
    <n v="157.5"/>
    <n v="142.13999999999999"/>
    <n v="144.16"/>
    <n v="150.22"/>
    <n v="1936.06"/>
  </r>
  <r>
    <x v="0"/>
    <x v="4"/>
    <x v="6"/>
    <x v="42"/>
    <n v="11"/>
    <x v="121"/>
    <n v="163.82"/>
    <n v="148.19999999999999"/>
    <n v="147.18"/>
    <n v="124.4"/>
    <n v="146.78"/>
    <n v="209.54"/>
    <n v="136.5"/>
    <n v="114.26"/>
    <n v="147.54000000000002"/>
    <n v="134.91999999999999"/>
    <n v="157.68"/>
    <n v="153.4"/>
    <n v="168.64"/>
    <n v="149.58000000000001"/>
    <n v="140.14000000000001"/>
    <n v="148.16"/>
    <n v="153.26666666666668"/>
    <n v="141.28000000000003"/>
    <n v="145.26"/>
    <n v="149"/>
    <n v="128.12"/>
    <n v="142.84"/>
    <n v="156.22"/>
    <n v="140.30000000000001"/>
    <n v="141.69999999999999"/>
    <n v="149.21999999999997"/>
    <n v="1927.44"/>
  </r>
  <r>
    <x v="1"/>
    <x v="4"/>
    <x v="6"/>
    <x v="42"/>
    <n v="11"/>
    <x v="122"/>
    <n v="164.08"/>
    <n v="149.66"/>
    <n v="147.41999999999999"/>
    <n v="124.34"/>
    <n v="146.68"/>
    <n v="214.66"/>
    <n v="136.91999999999999"/>
    <n v="114.3"/>
    <n v="147.82"/>
    <n v="134.34"/>
    <n v="157.74"/>
    <n v="154.22"/>
    <n v="168.9"/>
    <n v="149.18"/>
    <n v="139"/>
    <n v="147.66"/>
    <n v="153.15"/>
    <n v="140.34"/>
    <n v="144.24"/>
    <n v="148.22"/>
    <n v="127.66"/>
    <n v="141.47999999999996"/>
    <n v="155.19999999999999"/>
    <n v="140.26000000000002"/>
    <n v="140.98000000000002"/>
    <n v="149.32"/>
    <n v="1935.74"/>
  </r>
  <r>
    <x v="2"/>
    <x v="4"/>
    <x v="6"/>
    <x v="42"/>
    <n v="11"/>
    <x v="123"/>
    <n v="165.06"/>
    <n v="150.68"/>
    <n v="148.34"/>
    <n v="126.44"/>
    <n v="145.36000000000001"/>
    <n v="209.82"/>
    <n v="138.22"/>
    <n v="114.06"/>
    <n v="148.88"/>
    <n v="136.18"/>
    <n v="158.04000000000002"/>
    <n v="154.1"/>
    <n v="168.64000000000001"/>
    <n v="150.48000000000002"/>
    <n v="141.96"/>
    <n v="149.24"/>
    <n v="153.03333333333333"/>
    <n v="143.97999999999999"/>
    <n v="146.76"/>
    <n v="150.80000000000001"/>
    <n v="130.58000000000001"/>
    <n v="144.16000000000003"/>
    <n v="157.18"/>
    <n v="140.80000000000001"/>
    <n v="143.33999999999997"/>
    <n v="150.30000000000001"/>
    <n v="1938.66"/>
  </r>
  <r>
    <x v="0"/>
    <x v="4"/>
    <x v="7"/>
    <x v="43"/>
    <n v="10"/>
    <x v="124"/>
    <n v="161.69999999999999"/>
    <n v="144.13999999999999"/>
    <n v="146.26"/>
    <n v="123.62"/>
    <n v="147.86000000000001"/>
    <n v="196.3"/>
    <n v="133.52000000000001"/>
    <n v="114.24"/>
    <n v="145.94"/>
    <n v="134.61999999999998"/>
    <n v="157.24"/>
    <n v="150.86000000000001"/>
    <n v="167.96"/>
    <n v="149.11999999999998"/>
    <n v="139.90000000000003"/>
    <n v="147.76"/>
    <n v="153.16666666666666"/>
    <n v="139.56"/>
    <n v="144.85999999999999"/>
    <n v="148.51999999999998"/>
    <n v="126.66000000000001"/>
    <n v="142.47999999999996"/>
    <n v="156.07999999999998"/>
    <n v="140.04000000000002"/>
    <n v="141.01999999999998"/>
    <n v="147.68"/>
    <n v="1898.7399999999998"/>
  </r>
  <r>
    <x v="1"/>
    <x v="4"/>
    <x v="7"/>
    <x v="43"/>
    <n v="10"/>
    <x v="125"/>
    <n v="162.02000000000001"/>
    <n v="145.02000000000001"/>
    <n v="146.30000000000001"/>
    <n v="123.36"/>
    <n v="148.19999999999999"/>
    <n v="200.46"/>
    <n v="134.04"/>
    <n v="114.36"/>
    <n v="146.24"/>
    <n v="133.95999999999998"/>
    <n v="157.26"/>
    <n v="151.57999999999998"/>
    <n v="168.28"/>
    <n v="148.76000000000002"/>
    <n v="138.76000000000002"/>
    <n v="147.28"/>
    <n v="153.25"/>
    <n v="138.47999999999996"/>
    <n v="143.80000000000001"/>
    <n v="147.76000000000002"/>
    <n v="125.63999999999999"/>
    <n v="141.16000000000003"/>
    <n v="155.04000000000002"/>
    <n v="140.04000000000002"/>
    <n v="140.14000000000001"/>
    <n v="147.74"/>
    <n v="1905.5399999999997"/>
  </r>
  <r>
    <x v="2"/>
    <x v="4"/>
    <x v="7"/>
    <x v="43"/>
    <n v="10"/>
    <x v="126"/>
    <n v="163.12"/>
    <n v="145.97999999999999"/>
    <n v="146.91999999999999"/>
    <n v="124.64"/>
    <n v="146.94"/>
    <n v="200.92"/>
    <n v="135.56"/>
    <n v="114.12"/>
    <n v="147.02000000000001"/>
    <n v="135.77999999999997"/>
    <n v="157.56"/>
    <n v="152.06"/>
    <n v="167.97999999999996"/>
    <n v="150.10000000000002"/>
    <n v="141.74"/>
    <n v="148.88"/>
    <n v="153.33333333333334"/>
    <n v="142.68"/>
    <n v="146.30000000000001"/>
    <n v="150.24"/>
    <n v="128.33999999999997"/>
    <n v="143.82"/>
    <n v="156.92000000000002"/>
    <n v="140.26000000000002"/>
    <n v="142.36000000000001"/>
    <n v="149"/>
    <n v="1913.22"/>
  </r>
  <r>
    <x v="0"/>
    <x v="4"/>
    <x v="8"/>
    <x v="44"/>
    <n v="9"/>
    <x v="127"/>
    <n v="160.56"/>
    <n v="141.08000000000001"/>
    <n v="145.62"/>
    <n v="123.22"/>
    <n v="147.30000000000001"/>
    <n v="183"/>
    <n v="131.68"/>
    <n v="113.68"/>
    <n v="144.56"/>
    <n v="134.45999999999998"/>
    <n v="156.92000000000002"/>
    <n v="148.44"/>
    <n v="167.27999999999997"/>
    <n v="148.76"/>
    <n v="139.69999999999999"/>
    <n v="147.42000000000002"/>
    <n v="152.46666666666667"/>
    <n v="137.85999999999999"/>
    <n v="144.5"/>
    <n v="148.07999999999998"/>
    <n v="126.41999999999999"/>
    <n v="142.08000000000001"/>
    <n v="155.87999999999997"/>
    <n v="139.74"/>
    <n v="140.69999999999999"/>
    <n v="146.30000000000001"/>
    <n v="1872.1600000000003"/>
  </r>
  <r>
    <x v="1"/>
    <x v="4"/>
    <x v="8"/>
    <x v="44"/>
    <n v="9"/>
    <x v="128"/>
    <n v="160.38"/>
    <n v="141.94"/>
    <n v="145.72"/>
    <n v="122.98"/>
    <n v="148.13999999999999"/>
    <n v="188"/>
    <n v="131.74"/>
    <n v="113.92"/>
    <n v="144.79999999999998"/>
    <n v="133.78"/>
    <n v="156.90000000000003"/>
    <n v="149.26000000000002"/>
    <n v="167.56"/>
    <n v="148.30000000000001"/>
    <n v="138.54000000000002"/>
    <n v="146.85999999999999"/>
    <n v="152.6"/>
    <n v="136.6"/>
    <n v="143.44"/>
    <n v="147.28"/>
    <n v="125.35999999999999"/>
    <n v="140.76"/>
    <n v="154.91999999999999"/>
    <n v="139.69999999999999"/>
    <n v="139.82"/>
    <n v="146.4"/>
    <n v="1879.54"/>
  </r>
  <r>
    <x v="2"/>
    <x v="4"/>
    <x v="8"/>
    <x v="44"/>
    <n v="9"/>
    <x v="129"/>
    <n v="161.38"/>
    <n v="142.38"/>
    <n v="146.16"/>
    <n v="124.02"/>
    <n v="147.41999999999999"/>
    <n v="187.8"/>
    <n v="132.91999999999999"/>
    <n v="113.88"/>
    <n v="145.5"/>
    <n v="135.51999999999998"/>
    <n v="157.16"/>
    <n v="149.54000000000002"/>
    <n v="167.28000000000003"/>
    <n v="149.69999999999999"/>
    <n v="141.5"/>
    <n v="148.5"/>
    <n v="152.73333333333332"/>
    <n v="140.95999999999998"/>
    <n v="145.95999999999998"/>
    <n v="149.76"/>
    <n v="127.53999999999999"/>
    <n v="143.4"/>
    <n v="156.76"/>
    <n v="140.02000000000001"/>
    <n v="141.9"/>
    <n v="147.44"/>
    <n v="1885.4800000000002"/>
  </r>
  <r>
    <x v="0"/>
    <x v="4"/>
    <x v="9"/>
    <x v="45"/>
    <n v="8"/>
    <x v="130"/>
    <n v="160.28"/>
    <n v="139.26"/>
    <n v="144.96"/>
    <n v="122.68"/>
    <n v="148.47999999999999"/>
    <n v="173.7"/>
    <n v="130.94"/>
    <n v="112.64"/>
    <n v="143.16"/>
    <n v="134.34"/>
    <n v="156.66000000000003"/>
    <n v="146.80000000000001"/>
    <n v="166.62"/>
    <n v="148.57999999999998"/>
    <n v="139.64000000000001"/>
    <n v="147.26"/>
    <n v="151.79999999999998"/>
    <n v="136.78"/>
    <n v="144.27999999999997"/>
    <n v="147.6"/>
    <n v="126.16000000000001"/>
    <n v="141.69999999999999"/>
    <n v="155.57999999999998"/>
    <n v="138.84"/>
    <n v="140.30000000000001"/>
    <n v="145.26"/>
    <n v="1854.7400000000002"/>
  </r>
  <r>
    <x v="1"/>
    <x v="4"/>
    <x v="9"/>
    <x v="45"/>
    <n v="8"/>
    <x v="131"/>
    <n v="160.06"/>
    <n v="139.76"/>
    <n v="145.12"/>
    <n v="122.44"/>
    <n v="148.69999999999999"/>
    <n v="177.1"/>
    <n v="130.96"/>
    <n v="112.94"/>
    <n v="143.44"/>
    <n v="133.64000000000001"/>
    <n v="156.64000000000001"/>
    <n v="147.4"/>
    <n v="166.9"/>
    <n v="148.06"/>
    <n v="138.44"/>
    <n v="146.62"/>
    <n v="151.89999999999998"/>
    <n v="135.34"/>
    <n v="143.16000000000003"/>
    <n v="146.85999999999999"/>
    <n v="125.1"/>
    <n v="140.35999999999999"/>
    <n v="154.67999999999998"/>
    <n v="139.02000000000004"/>
    <n v="139.45999999999998"/>
    <n v="145.27999999999997"/>
    <n v="1859.3800000000003"/>
  </r>
  <r>
    <x v="2"/>
    <x v="4"/>
    <x v="9"/>
    <x v="45"/>
    <n v="8"/>
    <x v="132"/>
    <n v="160.72"/>
    <n v="139.84"/>
    <n v="145.44"/>
    <n v="123.58"/>
    <n v="147.06"/>
    <n v="175.04"/>
    <n v="131.62"/>
    <n v="113.12"/>
    <n v="144.04"/>
    <n v="135.4"/>
    <n v="156.88"/>
    <n v="147.24"/>
    <n v="166.58"/>
    <n v="149.4"/>
    <n v="141.34"/>
    <n v="148.22"/>
    <n v="151.99999999999997"/>
    <n v="139.78000000000003"/>
    <n v="145.66000000000003"/>
    <n v="149.30000000000001"/>
    <n v="127.27999999999997"/>
    <n v="143.02000000000004"/>
    <n v="156.52000000000004"/>
    <n v="139.51999999999998"/>
    <n v="141.54000000000002"/>
    <n v="146.1"/>
    <n v="1860.9400000000003"/>
  </r>
  <r>
    <x v="0"/>
    <x v="4"/>
    <x v="10"/>
    <x v="46"/>
    <n v="7"/>
    <x v="133"/>
    <n v="161.41999999999999"/>
    <n v="139.76"/>
    <n v="144.30000000000001"/>
    <n v="122.16"/>
    <n v="150.16"/>
    <n v="167.16"/>
    <n v="130.16"/>
    <n v="111.62"/>
    <n v="142.04"/>
    <n v="134.19999999999999"/>
    <n v="156.32"/>
    <n v="145.69999999999999"/>
    <n v="165.98"/>
    <n v="148.4"/>
    <n v="139.56"/>
    <n v="147.06"/>
    <n v="150.93333333333331"/>
    <n v="137"/>
    <n v="144.04"/>
    <n v="147.01999999999998"/>
    <n v="125.91999999999999"/>
    <n v="141.28"/>
    <n v="154.94"/>
    <n v="136.69999999999999"/>
    <n v="139.68"/>
    <n v="144.45999999999998"/>
    <n v="1845.0800000000002"/>
  </r>
  <r>
    <x v="1"/>
    <x v="4"/>
    <x v="10"/>
    <x v="46"/>
    <n v="7"/>
    <x v="134"/>
    <n v="160.74"/>
    <n v="139.78"/>
    <n v="144.46"/>
    <n v="121.86"/>
    <n v="150.76"/>
    <n v="170.62"/>
    <n v="130.22"/>
    <n v="111.86"/>
    <n v="142.22"/>
    <n v="133.47999999999999"/>
    <n v="156.29999999999998"/>
    <n v="146.28"/>
    <n v="166.24"/>
    <n v="147.90000000000003"/>
    <n v="138.36000000000001"/>
    <n v="146.45999999999998"/>
    <n v="151.1"/>
    <n v="135.34"/>
    <n v="142.94"/>
    <n v="146.28000000000003"/>
    <n v="124.84"/>
    <n v="139.95999999999998"/>
    <n v="154.09999999999997"/>
    <n v="137.16"/>
    <n v="138.88000000000002"/>
    <n v="144.47999999999999"/>
    <n v="1848.9999999999998"/>
  </r>
  <r>
    <x v="2"/>
    <x v="4"/>
    <x v="10"/>
    <x v="46"/>
    <n v="7"/>
    <x v="135"/>
    <n v="161.08000000000001"/>
    <n v="138.94"/>
    <n v="144.78"/>
    <n v="123.02"/>
    <n v="148.58000000000001"/>
    <n v="167.28"/>
    <n v="130.88"/>
    <n v="112.06"/>
    <n v="142.74"/>
    <n v="135.28"/>
    <n v="156.61999999999998"/>
    <n v="145.83999999999997"/>
    <n v="165.94"/>
    <n v="149.30000000000001"/>
    <n v="141.30000000000001"/>
    <n v="148.12"/>
    <n v="151.26666666666665"/>
    <n v="139.32"/>
    <n v="145.45999999999998"/>
    <n v="148.80000000000001"/>
    <n v="127.04"/>
    <n v="142.61999999999998"/>
    <n v="156.06"/>
    <n v="138.18"/>
    <n v="141.06"/>
    <n v="145.16"/>
    <n v="1847.2599999999998"/>
  </r>
  <r>
    <x v="0"/>
    <x v="4"/>
    <x v="11"/>
    <x v="47"/>
    <n v="6"/>
    <x v="136"/>
    <n v="161.88"/>
    <n v="139.06"/>
    <n v="143.58000000000001"/>
    <n v="121.76"/>
    <n v="148.41999999999999"/>
    <n v="158.22"/>
    <n v="128.78"/>
    <n v="111.2"/>
    <n v="141.06"/>
    <n v="133.84"/>
    <n v="155.97999999999999"/>
    <n v="144"/>
    <n v="165.5"/>
    <n v="148.12000000000003"/>
    <n v="139.42000000000002"/>
    <n v="146.82"/>
    <n v="149.79999999999998"/>
    <n v="138.66"/>
    <n v="143.69999999999999"/>
    <n v="146.47999999999996"/>
    <n v="125.23999999999998"/>
    <n v="140.56"/>
    <n v="153.72"/>
    <n v="134.80000000000001"/>
    <n v="138.84"/>
    <n v="143.35999999999999"/>
    <n v="1827.1799999999998"/>
  </r>
  <r>
    <x v="1"/>
    <x v="4"/>
    <x v="11"/>
    <x v="47"/>
    <n v="6"/>
    <x v="137"/>
    <n v="161.72"/>
    <n v="139.82"/>
    <n v="143.74"/>
    <n v="121.4"/>
    <n v="149.82"/>
    <n v="162.16"/>
    <n v="129.04"/>
    <n v="111.3"/>
    <n v="141.32"/>
    <n v="133.18"/>
    <n v="155.9"/>
    <n v="144.74"/>
    <n v="165.7"/>
    <n v="147.62"/>
    <n v="138.22"/>
    <n v="146.20000000000002"/>
    <n v="150"/>
    <n v="136.95999999999998"/>
    <n v="142.62000000000003"/>
    <n v="145.72"/>
    <n v="124.32000000000001"/>
    <n v="139.38"/>
    <n v="152.97999999999999"/>
    <n v="134.98000000000002"/>
    <n v="138.07999999999998"/>
    <n v="143.48000000000002"/>
    <n v="1833.8400000000001"/>
  </r>
  <r>
    <x v="2"/>
    <x v="4"/>
    <x v="11"/>
    <x v="47"/>
    <n v="6"/>
    <x v="136"/>
    <n v="162.18"/>
    <n v="139.16"/>
    <n v="143.97999999999999"/>
    <n v="122.62"/>
    <n v="148.74"/>
    <n v="159.44"/>
    <n v="129.86000000000001"/>
    <n v="111.28"/>
    <n v="141.66"/>
    <n v="135.07999999999998"/>
    <n v="156.26000000000002"/>
    <n v="144.41999999999999"/>
    <n v="165.38"/>
    <n v="149.11999999999998"/>
    <n v="141.19999999999999"/>
    <n v="147.94"/>
    <n v="150.20000000000002"/>
    <n v="140.13999999999999"/>
    <n v="145.18"/>
    <n v="148.19999999999999"/>
    <n v="126.67999999999999"/>
    <n v="142.12"/>
    <n v="155.14000000000001"/>
    <n v="136"/>
    <n v="140.33999999999997"/>
    <n v="144.19999999999999"/>
    <n v="1834.0800000000002"/>
  </r>
  <r>
    <x v="0"/>
    <x v="4"/>
    <x v="0"/>
    <x v="48"/>
    <n v="5"/>
    <x v="138"/>
    <n v="159.56"/>
    <n v="137.08000000000001"/>
    <n v="142.82"/>
    <n v="121.5"/>
    <n v="146.82"/>
    <n v="149.68"/>
    <n v="126.1"/>
    <n v="110.56"/>
    <n v="140.32"/>
    <n v="133.52000000000001"/>
    <n v="155.62"/>
    <n v="142.1"/>
    <n v="164.9"/>
    <n v="147.88000000000002"/>
    <n v="139.37999999999997"/>
    <n v="146.66"/>
    <n v="149.86666666666667"/>
    <n v="138.98000000000002"/>
    <n v="143.47999999999999"/>
    <n v="146"/>
    <n v="125"/>
    <n v="139.95999999999998"/>
    <n v="152.57999999999998"/>
    <n v="133.68"/>
    <n v="138.26000000000002"/>
    <n v="142.32"/>
    <n v="1804.6"/>
  </r>
  <r>
    <x v="1"/>
    <x v="4"/>
    <x v="0"/>
    <x v="48"/>
    <n v="5"/>
    <x v="139"/>
    <n v="160.08000000000001"/>
    <n v="137.74"/>
    <n v="142.96"/>
    <n v="121.14"/>
    <n v="147.44"/>
    <n v="153.1"/>
    <n v="126.74"/>
    <n v="110.9"/>
    <n v="140.57999999999998"/>
    <n v="132.82"/>
    <n v="155.52000000000001"/>
    <n v="142.80000000000001"/>
    <n v="165.21999999999997"/>
    <n v="147.33999999999997"/>
    <n v="138.13999999999999"/>
    <n v="146"/>
    <n v="149.75"/>
    <n v="137.84"/>
    <n v="142.34"/>
    <n v="145.22"/>
    <n v="123.88"/>
    <n v="138.70000000000002"/>
    <n v="151.74"/>
    <n v="133.76"/>
    <n v="137.4"/>
    <n v="142.42000000000002"/>
    <n v="1810.9999999999998"/>
  </r>
  <r>
    <x v="2"/>
    <x v="4"/>
    <x v="0"/>
    <x v="48"/>
    <n v="5"/>
    <x v="140"/>
    <n v="161.54"/>
    <n v="137.76"/>
    <n v="143.26"/>
    <n v="122.3"/>
    <n v="146.78"/>
    <n v="150.80000000000001"/>
    <n v="127.98"/>
    <n v="110.82"/>
    <n v="140.71999999999997"/>
    <n v="134.74"/>
    <n v="155.95999999999998"/>
    <n v="142.64000000000001"/>
    <n v="164.88"/>
    <n v="148.86000000000001"/>
    <n v="141.12"/>
    <n v="147.73999999999998"/>
    <n v="149.63333333333333"/>
    <n v="141.32"/>
    <n v="144.9"/>
    <n v="147.69999999999999"/>
    <n v="126.1"/>
    <n v="141.4"/>
    <n v="153.95999999999998"/>
    <n v="134.46"/>
    <n v="139.58000000000001"/>
    <n v="143.1"/>
    <n v="1814.08"/>
  </r>
  <r>
    <x v="0"/>
    <x v="4"/>
    <x v="2"/>
    <x v="49"/>
    <n v="3"/>
    <x v="141"/>
    <n v="154.88"/>
    <n v="138.94"/>
    <n v="142.34"/>
    <n v="121.42"/>
    <n v="141.30000000000001"/>
    <n v="139.4"/>
    <n v="122.86"/>
    <n v="109.64"/>
    <n v="139.88000000000002"/>
    <n v="133.23999999999998"/>
    <n v="155.28"/>
    <n v="139.6"/>
    <n v="164.24"/>
    <n v="147.5"/>
    <n v="139.1"/>
    <n v="146.26"/>
    <n v="149.36666666666667"/>
    <n v="138.24"/>
    <n v="143.45999999999998"/>
    <n v="145.38000000000002"/>
    <n v="124.93999999999998"/>
    <n v="138.88"/>
    <n v="151.44"/>
    <n v="133.28"/>
    <n v="137.82000000000002"/>
    <n v="141"/>
    <n v="1777.22"/>
  </r>
  <r>
    <x v="1"/>
    <x v="4"/>
    <x v="2"/>
    <x v="49"/>
    <n v="3"/>
    <x v="142"/>
    <n v="155.76"/>
    <n v="138.4"/>
    <n v="142.34"/>
    <n v="121"/>
    <n v="143.38"/>
    <n v="142.36000000000001"/>
    <n v="123.38"/>
    <n v="109.96"/>
    <n v="140.07999999999998"/>
    <n v="132.56"/>
    <n v="155.1"/>
    <n v="140.32"/>
    <n v="164.48"/>
    <n v="147.02000000000001"/>
    <n v="137.96"/>
    <n v="145.69999999999999"/>
    <n v="149.55000000000001"/>
    <n v="137.01999999999998"/>
    <n v="142.19999999999999"/>
    <n v="144.68"/>
    <n v="123.93999999999998"/>
    <n v="137.95999999999998"/>
    <n v="150.66000000000003"/>
    <n v="133.16"/>
    <n v="136.98000000000002"/>
    <n v="141.16"/>
    <n v="1783.36"/>
  </r>
  <r>
    <x v="2"/>
    <x v="4"/>
    <x v="2"/>
    <x v="49"/>
    <n v="3"/>
    <x v="143"/>
    <n v="158.24"/>
    <n v="137.06"/>
    <n v="142.6"/>
    <n v="122.18"/>
    <n v="144.16"/>
    <n v="142.24"/>
    <n v="124.98"/>
    <n v="110"/>
    <n v="140.02000000000001"/>
    <n v="134.45999999999998"/>
    <n v="155.64000000000001"/>
    <n v="140.6"/>
    <n v="164.26"/>
    <n v="148.6"/>
    <n v="141.02000000000001"/>
    <n v="147.51999999999998"/>
    <n v="149.73333333333335"/>
    <n v="140.82"/>
    <n v="144.76000000000002"/>
    <n v="147.18"/>
    <n v="126"/>
    <n v="140.63999999999999"/>
    <n v="152.85999999999999"/>
    <n v="133.61999999999998"/>
    <n v="139.08000000000001"/>
    <n v="141.97999999999999"/>
    <n v="1790.52"/>
  </r>
  <r>
    <x v="0"/>
    <x v="4"/>
    <x v="3"/>
    <x v="50"/>
    <n v="2"/>
    <x v="144"/>
    <n v="152.06"/>
    <n v="141.5"/>
    <n v="142.16"/>
    <n v="121.4"/>
    <n v="136.94"/>
    <n v="131.88"/>
    <n v="121.08"/>
    <n v="109.28"/>
    <n v="139.85999999999999"/>
    <n v="133.04000000000002"/>
    <n v="154.97999999999999"/>
    <n v="137.92000000000002"/>
    <n v="163.85999999999999"/>
    <n v="147.16"/>
    <n v="138.77999999999997"/>
    <n v="145.9"/>
    <n v="148.66666666666666"/>
    <n v="137.19999999999999"/>
    <n v="143.44"/>
    <n v="144.71999999999997"/>
    <n v="124.41999999999999"/>
    <n v="137.9"/>
    <n v="150.92000000000002"/>
    <n v="133.69999999999999"/>
    <n v="137.44"/>
    <n v="140.04000000000002"/>
    <n v="1760.1799999999998"/>
  </r>
  <r>
    <x v="1"/>
    <x v="4"/>
    <x v="3"/>
    <x v="50"/>
    <n v="2"/>
    <x v="145"/>
    <n v="152.06"/>
    <n v="141.74"/>
    <n v="142.12"/>
    <n v="120.98"/>
    <n v="137.30000000000001"/>
    <n v="132.66"/>
    <n v="121.14"/>
    <n v="109.42"/>
    <n v="139.91999999999999"/>
    <n v="132.30000000000001"/>
    <n v="154.77999999999997"/>
    <n v="138.1"/>
    <n v="164"/>
    <n v="146.63999999999999"/>
    <n v="137.54"/>
    <n v="145.26"/>
    <n v="148.75"/>
    <n v="136.08000000000001"/>
    <n v="142.17999999999998"/>
    <n v="143.98000000000002"/>
    <n v="123.5"/>
    <n v="136.76"/>
    <n v="149.87999999999997"/>
    <n v="133.4"/>
    <n v="136.54000000000002"/>
    <n v="139.92000000000002"/>
    <n v="1760.8"/>
  </r>
  <r>
    <x v="2"/>
    <x v="4"/>
    <x v="3"/>
    <x v="50"/>
    <n v="2"/>
    <x v="146"/>
    <n v="153.94"/>
    <n v="139.58000000000001"/>
    <n v="142.30000000000001"/>
    <n v="122.1"/>
    <n v="138.63999999999999"/>
    <n v="133.02000000000001"/>
    <n v="122.18"/>
    <n v="109.2"/>
    <n v="139.61999999999998"/>
    <n v="134.18"/>
    <n v="155.36000000000001"/>
    <n v="138.34"/>
    <n v="163.68"/>
    <n v="148.24"/>
    <n v="140.69999999999999"/>
    <n v="147.12000000000003"/>
    <n v="148.83333333333334"/>
    <n v="140.04"/>
    <n v="144.76"/>
    <n v="146.54000000000002"/>
    <n v="125.7"/>
    <n v="139.49999999999997"/>
    <n v="151.9"/>
    <n v="133.57999999999998"/>
    <n v="138.63999999999999"/>
    <n v="140.68"/>
    <n v="1766.34"/>
  </r>
  <r>
    <x v="0"/>
    <x v="4"/>
    <x v="4"/>
    <x v="51"/>
    <n v="1"/>
    <x v="147"/>
    <n v="151.28"/>
    <n v="141.26"/>
    <n v="142.08000000000001"/>
    <n v="121.26"/>
    <n v="135.78"/>
    <n v="130.76"/>
    <n v="120.24"/>
    <n v="109.32"/>
    <n v="139.74"/>
    <n v="132.82000000000002"/>
    <n v="154.66"/>
    <n v="137.45999999999998"/>
    <n v="163.66"/>
    <n v="147"/>
    <n v="138.28000000000003"/>
    <n v="145.73999999999998"/>
    <n v="147.96666666666667"/>
    <n v="137.33999999999997"/>
    <n v="143.34"/>
    <n v="144.18"/>
    <n v="123.78"/>
    <n v="137.41999999999999"/>
    <n v="150.82"/>
    <n v="133.18"/>
    <n v="136.99999999999997"/>
    <n v="139.64000000000001"/>
    <n v="1754.3"/>
  </r>
  <r>
    <x v="1"/>
    <x v="4"/>
    <x v="4"/>
    <x v="51"/>
    <n v="1"/>
    <x v="148"/>
    <n v="151.18"/>
    <n v="141.91999999999999"/>
    <n v="142.04"/>
    <n v="120.88"/>
    <n v="135.96"/>
    <n v="130.36000000000001"/>
    <n v="120.18"/>
    <n v="109.44"/>
    <n v="139.9"/>
    <n v="132.13999999999999"/>
    <n v="154.47999999999999"/>
    <n v="137.48000000000002"/>
    <n v="163.80000000000001"/>
    <n v="146.42000000000002"/>
    <n v="137.19999999999999"/>
    <n v="145.06"/>
    <n v="148.1"/>
    <n v="135.78"/>
    <n v="142.06"/>
    <n v="143.38"/>
    <n v="122.83999999999999"/>
    <n v="136.26000000000002"/>
    <n v="149.84"/>
    <n v="133.30000000000001"/>
    <n v="136.14000000000001"/>
    <n v="139.42000000000002"/>
    <n v="1753.8000000000002"/>
  </r>
  <r>
    <x v="2"/>
    <x v="4"/>
    <x v="4"/>
    <x v="51"/>
    <n v="1"/>
    <x v="149"/>
    <n v="152.12"/>
    <n v="140.96"/>
    <n v="142.19999999999999"/>
    <n v="122.08"/>
    <n v="136.13999999999999"/>
    <n v="129.9"/>
    <n v="121"/>
    <n v="109.02"/>
    <n v="139.6"/>
    <n v="134"/>
    <n v="155.11999999999998"/>
    <n v="137.48000000000002"/>
    <n v="163.44"/>
    <n v="147.98000000000002"/>
    <n v="140.34"/>
    <n v="146.86000000000001"/>
    <n v="148.23333333333332"/>
    <n v="139.33999999999997"/>
    <n v="144.80000000000001"/>
    <n v="145.9"/>
    <n v="125.1"/>
    <n v="138.64000000000001"/>
    <n v="151.61999999999998"/>
    <n v="133.76000000000002"/>
    <n v="138.26"/>
    <n v="140.06"/>
    <n v="1757.1799999999998"/>
  </r>
  <r>
    <x v="0"/>
    <x v="5"/>
    <x v="5"/>
    <x v="52"/>
    <n v="12"/>
    <x v="150"/>
    <n v="150.41999999999999"/>
    <n v="139.80000000000001"/>
    <n v="142.04"/>
    <n v="121.26"/>
    <n v="137.76"/>
    <n v="133.28"/>
    <n v="119.54"/>
    <n v="110"/>
    <n v="140.32"/>
    <n v="132.96"/>
    <n v="154.5"/>
    <n v="137.80000000000001"/>
    <n v="163.48000000000002"/>
    <n v="147.19999999999999"/>
    <n v="138.22"/>
    <n v="145.88000000000002"/>
    <n v="146.9"/>
    <n v="139.78"/>
    <n v="143.06"/>
    <n v="143.84"/>
    <n v="123.7"/>
    <n v="137.32"/>
    <n v="150.70000000000002"/>
    <n v="132.28000000000003"/>
    <n v="136.71999999999997"/>
    <n v="139.80000000000001"/>
    <n v="1757.28"/>
  </r>
  <r>
    <x v="1"/>
    <x v="5"/>
    <x v="5"/>
    <x v="52"/>
    <n v="12"/>
    <x v="150"/>
    <n v="150.32"/>
    <n v="140.36000000000001"/>
    <n v="141.97999999999999"/>
    <n v="120.78"/>
    <n v="136.80000000000001"/>
    <n v="132.22"/>
    <n v="119.42"/>
    <n v="109.84"/>
    <n v="140.16"/>
    <n v="132.06"/>
    <n v="154.22"/>
    <n v="137.57999999999998"/>
    <n v="163.64000000000001"/>
    <n v="146.4"/>
    <n v="136.84"/>
    <n v="145"/>
    <n v="147.1"/>
    <n v="137.88"/>
    <n v="141.88"/>
    <n v="142.94000000000003"/>
    <n v="122.58"/>
    <n v="136"/>
    <n v="149.71999999999997"/>
    <n v="132.19999999999999"/>
    <n v="135.78"/>
    <n v="139.34"/>
    <n v="1753.34"/>
  </r>
  <r>
    <x v="2"/>
    <x v="5"/>
    <x v="5"/>
    <x v="52"/>
    <n v="12"/>
    <x v="151"/>
    <n v="151.36000000000001"/>
    <n v="139.96"/>
    <n v="142.16"/>
    <n v="121.98"/>
    <n v="136.26"/>
    <n v="131.47999999999999"/>
    <n v="120.22"/>
    <n v="109.3"/>
    <n v="139.69999999999999"/>
    <n v="133.92000000000002"/>
    <n v="154.87999999999997"/>
    <n v="137.5"/>
    <n v="163.27999999999997"/>
    <n v="147.95999999999998"/>
    <n v="140"/>
    <n v="146.82"/>
    <n v="147.29999999999998"/>
    <n v="140.45999999999998"/>
    <n v="144.66"/>
    <n v="145.45999999999998"/>
    <n v="124.66"/>
    <n v="138.33999999999997"/>
    <n v="151.51999999999998"/>
    <n v="133.02000000000001"/>
    <n v="137.88000000000002"/>
    <n v="139.94"/>
    <n v="1755.98"/>
  </r>
  <r>
    <x v="0"/>
    <x v="5"/>
    <x v="6"/>
    <x v="53"/>
    <n v="11"/>
    <x v="147"/>
    <n v="149.19999999999999"/>
    <n v="138.02000000000001"/>
    <n v="141.86000000000001"/>
    <n v="120.86"/>
    <n v="141.38"/>
    <n v="141.68"/>
    <n v="118.76"/>
    <n v="111.38"/>
    <n v="140.91999999999999"/>
    <n v="132.97999999999999"/>
    <n v="154.42000000000002"/>
    <n v="138.97999999999999"/>
    <n v="163.18"/>
    <n v="147.28000000000003"/>
    <n v="138.19999999999999"/>
    <n v="145.91999999999999"/>
    <n v="146.76666666666668"/>
    <n v="142.69999999999999"/>
    <n v="142.34"/>
    <n v="142.24"/>
    <n v="124.93999999999998"/>
    <n v="137.18"/>
    <n v="149.13999999999999"/>
    <n v="131.91999999999999"/>
    <n v="136.37999999999997"/>
    <n v="140.42000000000002"/>
    <n v="1768.0800000000004"/>
  </r>
  <r>
    <x v="1"/>
    <x v="5"/>
    <x v="6"/>
    <x v="53"/>
    <n v="11"/>
    <x v="152"/>
    <n v="149.13999999999999"/>
    <n v="138.44"/>
    <n v="141.9"/>
    <n v="120.7"/>
    <n v="140.47999999999999"/>
    <n v="139.22"/>
    <n v="118.52"/>
    <n v="111.12"/>
    <n v="140.92000000000002"/>
    <n v="132.24"/>
    <n v="154.12"/>
    <n v="138.61999999999998"/>
    <n v="163.4"/>
    <n v="146.56"/>
    <n v="136.97999999999999"/>
    <n v="145.11999999999998"/>
    <n v="146.69999999999999"/>
    <n v="141.17999999999998"/>
    <n v="141.38000000000002"/>
    <n v="142.13999999999999"/>
    <n v="123.6"/>
    <n v="135.91999999999999"/>
    <n v="149.12"/>
    <n v="131.74"/>
    <n v="135.71999999999997"/>
    <n v="139.96"/>
    <n v="1763.1400000000003"/>
  </r>
  <r>
    <x v="2"/>
    <x v="5"/>
    <x v="6"/>
    <x v="53"/>
    <n v="11"/>
    <x v="153"/>
    <n v="150.38"/>
    <n v="138.52000000000001"/>
    <n v="142.06"/>
    <n v="121.86"/>
    <n v="139.28"/>
    <n v="136.52000000000001"/>
    <n v="119.72"/>
    <n v="110.3"/>
    <n v="140.42000000000002"/>
    <n v="134.04000000000002"/>
    <n v="154.76"/>
    <n v="138.28"/>
    <n v="163.06"/>
    <n v="148.19999999999999"/>
    <n v="139.96"/>
    <n v="147"/>
    <n v="146.63333333333333"/>
    <n v="143.08000000000001"/>
    <n v="144.23999999999998"/>
    <n v="144.69999999999999"/>
    <n v="125.08"/>
    <n v="138.23999999999998"/>
    <n v="150.94"/>
    <n v="132.34"/>
    <n v="137.61999999999998"/>
    <n v="140.36000000000001"/>
    <n v="1763.5599999999997"/>
  </r>
  <r>
    <x v="0"/>
    <x v="5"/>
    <x v="7"/>
    <x v="54"/>
    <n v="10"/>
    <x v="154"/>
    <n v="147.82"/>
    <n v="135.97999999999999"/>
    <n v="141.76"/>
    <n v="120.7"/>
    <n v="142.38"/>
    <n v="148"/>
    <n v="118"/>
    <n v="112.22"/>
    <n v="140.72"/>
    <n v="132.26"/>
    <n v="154.07999999999998"/>
    <n v="139.68"/>
    <n v="162.5"/>
    <n v="146.85999999999999"/>
    <n v="137.84"/>
    <n v="145.52000000000001"/>
    <n v="146.70000000000002"/>
    <n v="143.08000000000001"/>
    <n v="141.71999999999997"/>
    <n v="141.06"/>
    <n v="126.22"/>
    <n v="136.34"/>
    <n v="147.52000000000001"/>
    <n v="132.07999999999998"/>
    <n v="136.18"/>
    <n v="140.66000000000003"/>
    <n v="1771.5"/>
  </r>
  <r>
    <x v="1"/>
    <x v="5"/>
    <x v="7"/>
    <x v="54"/>
    <n v="10"/>
    <x v="155"/>
    <n v="148.13999999999999"/>
    <n v="136.47999999999999"/>
    <n v="141.74"/>
    <n v="120.22"/>
    <n v="142.04"/>
    <n v="147.82"/>
    <n v="117.54"/>
    <n v="112.14"/>
    <n v="141"/>
    <n v="132.04000000000002"/>
    <n v="153.94"/>
    <n v="139.58000000000001"/>
    <n v="163.1"/>
    <n v="146.32"/>
    <n v="136.76000000000002"/>
    <n v="144.9"/>
    <n v="146.75"/>
    <n v="142.16000000000003"/>
    <n v="140.66"/>
    <n v="140.52000000000001"/>
    <n v="125.16"/>
    <n v="135.61999999999998"/>
    <n v="147.48000000000002"/>
    <n v="131.6"/>
    <n v="135.47999999999996"/>
    <n v="140.38000000000002"/>
    <n v="1770.2"/>
  </r>
  <r>
    <x v="2"/>
    <x v="5"/>
    <x v="7"/>
    <x v="54"/>
    <n v="10"/>
    <x v="153"/>
    <n v="149.54"/>
    <n v="137.26"/>
    <n v="141.91999999999999"/>
    <n v="121.46"/>
    <n v="142.18"/>
    <n v="144.54"/>
    <n v="119.08"/>
    <n v="111.56"/>
    <n v="140.82"/>
    <n v="134.08000000000001"/>
    <n v="154.74"/>
    <n v="139.4"/>
    <n v="162.78"/>
    <n v="148.34"/>
    <n v="139.97999999999999"/>
    <n v="147.11999999999998"/>
    <n v="146.9"/>
    <n v="145.28"/>
    <n v="143.54000000000002"/>
    <n v="143.19999999999999"/>
    <n v="126.28"/>
    <n v="138.14000000000001"/>
    <n v="149.40000000000003"/>
    <n v="132.16"/>
    <n v="137.30000000000001"/>
    <n v="140.97999999999999"/>
    <n v="1773.9999999999998"/>
  </r>
  <r>
    <x v="0"/>
    <x v="5"/>
    <x v="8"/>
    <x v="55"/>
    <n v="9"/>
    <x v="156"/>
    <n v="145.72"/>
    <n v="134.52000000000001"/>
    <n v="142.30000000000001"/>
    <n v="121.2"/>
    <n v="143.9"/>
    <n v="150.26"/>
    <n v="118.98"/>
    <n v="113.1"/>
    <n v="140"/>
    <n v="130.76000000000002"/>
    <n v="153.64000000000001"/>
    <n v="140.04"/>
    <n v="160.76"/>
    <n v="146.56"/>
    <n v="137.76"/>
    <n v="145.28000000000003"/>
    <n v="145.63333333333335"/>
    <n v="141.12"/>
    <n v="140.23999999999998"/>
    <n v="139.02000000000004"/>
    <n v="126.5"/>
    <n v="135.1"/>
    <n v="146.5"/>
    <n v="131.4"/>
    <n v="135.26"/>
    <n v="140.29999999999998"/>
    <n v="1772.8"/>
  </r>
  <r>
    <x v="1"/>
    <x v="5"/>
    <x v="8"/>
    <x v="55"/>
    <n v="9"/>
    <x v="157"/>
    <n v="146.18"/>
    <n v="134.66"/>
    <n v="141.94"/>
    <n v="120.5"/>
    <n v="142.38"/>
    <n v="149.72"/>
    <n v="117.72"/>
    <n v="112.6"/>
    <n v="140.45999999999998"/>
    <n v="130.86000000000001"/>
    <n v="153.35999999999999"/>
    <n v="139.71999999999997"/>
    <n v="161.74"/>
    <n v="145.74"/>
    <n v="136.38000000000002"/>
    <n v="144.38000000000002"/>
    <n v="145.95000000000002"/>
    <n v="140.38000000000002"/>
    <n v="139.88000000000002"/>
    <n v="139.44"/>
    <n v="125.62"/>
    <n v="134.4"/>
    <n v="146.54000000000002"/>
    <n v="131.4"/>
    <n v="135.04000000000002"/>
    <n v="140.04000000000002"/>
    <n v="1768.08"/>
  </r>
  <r>
    <x v="2"/>
    <x v="5"/>
    <x v="8"/>
    <x v="55"/>
    <n v="9"/>
    <x v="158"/>
    <n v="147.72"/>
    <n v="135.44"/>
    <n v="142.02000000000001"/>
    <n v="121.5"/>
    <n v="143.16"/>
    <n v="148.96"/>
    <n v="119.22"/>
    <n v="112.46"/>
    <n v="140.34"/>
    <n v="132.82"/>
    <n v="154.32"/>
    <n v="139.94"/>
    <n v="161.45999999999998"/>
    <n v="147.91999999999999"/>
    <n v="139.62"/>
    <n v="146.71999999999997"/>
    <n v="146.16666666666666"/>
    <n v="144.19999999999999"/>
    <n v="142.5"/>
    <n v="141.38"/>
    <n v="127.18000000000002"/>
    <n v="136.97999999999999"/>
    <n v="147.54000000000002"/>
    <n v="132.16000000000003"/>
    <n v="136.68"/>
    <n v="140.89999999999998"/>
    <n v="1775.8999999999999"/>
  </r>
  <r>
    <x v="0"/>
    <x v="5"/>
    <x v="9"/>
    <x v="56"/>
    <n v="8"/>
    <x v="144"/>
    <n v="146.69999999999999"/>
    <n v="136.63999999999999"/>
    <n v="142.5"/>
    <n v="121.4"/>
    <n v="148.28"/>
    <n v="154.18"/>
    <n v="120.34"/>
    <n v="114.02"/>
    <n v="139.80000000000001"/>
    <n v="130.62000000000003"/>
    <n v="153.16"/>
    <n v="140.94"/>
    <n v="159.47999999999996"/>
    <n v="146.45999999999998"/>
    <n v="137.80000000000001"/>
    <n v="145.22"/>
    <n v="144.83333333333334"/>
    <n v="139.71999999999997"/>
    <n v="139.30000000000001"/>
    <n v="137.54000000000002"/>
    <n v="125.14000000000001"/>
    <n v="134.44"/>
    <n v="146.19999999999999"/>
    <n v="130.19999999999999"/>
    <n v="134.16"/>
    <n v="140.22"/>
    <n v="1786.66"/>
  </r>
  <r>
    <x v="1"/>
    <x v="5"/>
    <x v="9"/>
    <x v="56"/>
    <n v="8"/>
    <x v="159"/>
    <n v="146.1"/>
    <n v="135.84"/>
    <n v="142.38"/>
    <n v="120.82"/>
    <n v="146.47999999999999"/>
    <n v="152.91999999999999"/>
    <n v="119.26"/>
    <n v="113.68"/>
    <n v="139.97999999999999"/>
    <n v="130.02000000000004"/>
    <n v="152.87999999999997"/>
    <n v="140.47999999999999"/>
    <n v="160.04000000000002"/>
    <n v="145.58000000000001"/>
    <n v="136.46"/>
    <n v="144.26"/>
    <n v="144.94999999999999"/>
    <n v="138.64000000000001"/>
    <n v="138.48000000000002"/>
    <n v="137.33999999999997"/>
    <n v="124.67999999999999"/>
    <n v="133.61999999999998"/>
    <n v="146.06"/>
    <n v="130.12"/>
    <n v="133.77999999999997"/>
    <n v="139.76"/>
    <n v="1778.8"/>
  </r>
  <r>
    <x v="2"/>
    <x v="5"/>
    <x v="9"/>
    <x v="56"/>
    <n v="8"/>
    <x v="160"/>
    <n v="146.34"/>
    <n v="135.44"/>
    <n v="142.52000000000001"/>
    <n v="122.04"/>
    <n v="146.12"/>
    <n v="150.97999999999999"/>
    <n v="120.82"/>
    <n v="113.48"/>
    <n v="139.66"/>
    <n v="131.46"/>
    <n v="153.84"/>
    <n v="140.5"/>
    <n v="159.54000000000002"/>
    <n v="147.71999999999997"/>
    <n v="139.56"/>
    <n v="146.56"/>
    <n v="145.06666666666666"/>
    <n v="142.61999999999998"/>
    <n v="141.1"/>
    <n v="139.32"/>
    <n v="126.7"/>
    <n v="135.68"/>
    <n v="146.6"/>
    <n v="131.34"/>
    <n v="135.54000000000002"/>
    <n v="140.6"/>
    <n v="1781.72"/>
  </r>
  <r>
    <x v="0"/>
    <x v="5"/>
    <x v="10"/>
    <x v="57"/>
    <n v="7"/>
    <x v="161"/>
    <n v="148.44"/>
    <n v="138.66"/>
    <n v="142.32"/>
    <n v="120.92"/>
    <n v="151.06"/>
    <n v="156.58000000000001"/>
    <n v="120.22"/>
    <n v="113.66"/>
    <n v="139.42000000000002"/>
    <n v="130.22"/>
    <n v="152.42000000000002"/>
    <n v="141.30000000000001"/>
    <n v="158.69999999999999"/>
    <n v="146"/>
    <n v="137.44"/>
    <n v="144.74"/>
    <n v="143.93333333333331"/>
    <n v="138.41999999999999"/>
    <n v="138.69999999999999"/>
    <n v="136.78"/>
    <n v="124.04"/>
    <n v="133.78000000000003"/>
    <n v="145.34"/>
    <n v="129.85999999999999"/>
    <n v="133.4"/>
    <n v="139.92000000000002"/>
    <n v="1792.66"/>
  </r>
  <r>
    <x v="1"/>
    <x v="5"/>
    <x v="10"/>
    <x v="57"/>
    <n v="7"/>
    <x v="153"/>
    <n v="148.18"/>
    <n v="138.41999999999999"/>
    <n v="142.16"/>
    <n v="120.54"/>
    <n v="150.52000000000001"/>
    <n v="157.06"/>
    <n v="119.42"/>
    <n v="113.74"/>
    <n v="139.66000000000003"/>
    <n v="129.88000000000002"/>
    <n v="152.06"/>
    <n v="141.24"/>
    <n v="159.06"/>
    <n v="145.16"/>
    <n v="136.18"/>
    <n v="143.84"/>
    <n v="144.1"/>
    <n v="137.23999999999998"/>
    <n v="137.95999999999998"/>
    <n v="136.51999999999998"/>
    <n v="123.4"/>
    <n v="132.82"/>
    <n v="145.38000000000002"/>
    <n v="129.6"/>
    <n v="132.97999999999999"/>
    <n v="139.63999999999999"/>
    <n v="1790.3000000000002"/>
  </r>
  <r>
    <x v="2"/>
    <x v="5"/>
    <x v="10"/>
    <x v="57"/>
    <n v="7"/>
    <x v="162"/>
    <n v="147.9"/>
    <n v="137.91999999999999"/>
    <n v="142.69999999999999"/>
    <n v="122.12"/>
    <n v="150.6"/>
    <n v="155.1"/>
    <n v="121.98"/>
    <n v="114.26"/>
    <n v="139.34"/>
    <n v="131.14000000000001"/>
    <n v="153.35999999999999"/>
    <n v="141.44"/>
    <n v="158.32"/>
    <n v="147.66000000000003"/>
    <n v="139.62"/>
    <n v="146.51999999999998"/>
    <n v="144.26666666666665"/>
    <n v="141.42000000000002"/>
    <n v="140.04"/>
    <n v="137.80000000000001"/>
    <n v="125.36000000000001"/>
    <n v="135.02000000000001"/>
    <n v="146.10000000000002"/>
    <n v="130.35999999999999"/>
    <n v="134.41999999999999"/>
    <n v="140.56"/>
    <n v="1796.04"/>
  </r>
  <r>
    <x v="0"/>
    <x v="5"/>
    <x v="11"/>
    <x v="58"/>
    <n v="6"/>
    <x v="163"/>
    <n v="148.88"/>
    <n v="136.91999999999999"/>
    <n v="142.13999999999999"/>
    <n v="120.54"/>
    <n v="152.5"/>
    <n v="148.91999999999999"/>
    <n v="119.74"/>
    <n v="111.6"/>
    <n v="138.9"/>
    <n v="129.88"/>
    <n v="151.86000000000001"/>
    <n v="140.01999999999998"/>
    <n v="158.82"/>
    <n v="145.54000000000002"/>
    <n v="137.1"/>
    <n v="144.28"/>
    <n v="142.86666666666667"/>
    <n v="136.92000000000002"/>
    <n v="137.97999999999999"/>
    <n v="135.96"/>
    <n v="123.82000000000001"/>
    <n v="133.26"/>
    <n v="143.78"/>
    <n v="129.85999999999999"/>
    <n v="132.78000000000003"/>
    <n v="138.9"/>
    <n v="1778.6599999999999"/>
  </r>
  <r>
    <x v="1"/>
    <x v="5"/>
    <x v="11"/>
    <x v="58"/>
    <n v="6"/>
    <x v="164"/>
    <n v="149.08000000000001"/>
    <n v="137.41999999999999"/>
    <n v="142"/>
    <n v="120.02"/>
    <n v="152"/>
    <n v="151.4"/>
    <n v="118.88"/>
    <n v="111.82"/>
    <n v="139.16"/>
    <n v="129.38000000000002"/>
    <n v="151.45999999999998"/>
    <n v="140.30000000000001"/>
    <n v="158.85999999999999"/>
    <n v="144.64000000000001"/>
    <n v="135.83999999999997"/>
    <n v="143.34"/>
    <n v="143.05000000000001"/>
    <n v="135.84"/>
    <n v="137.26000000000002"/>
    <n v="135.68"/>
    <n v="123.06000000000002"/>
    <n v="132.32"/>
    <n v="143.69999999999999"/>
    <n v="129.59999999999997"/>
    <n v="132.30000000000001"/>
    <n v="138.76"/>
    <n v="1779.66"/>
  </r>
  <r>
    <x v="2"/>
    <x v="5"/>
    <x v="11"/>
    <x v="58"/>
    <n v="6"/>
    <x v="155"/>
    <n v="148.9"/>
    <n v="138.46"/>
    <n v="142.54"/>
    <n v="121.7"/>
    <n v="152.44"/>
    <n v="153.86000000000001"/>
    <n v="121.78"/>
    <n v="113.22"/>
    <n v="138.88000000000002"/>
    <n v="130.80000000000001"/>
    <n v="152.69999999999999"/>
    <n v="141.16"/>
    <n v="157.94"/>
    <n v="147.28"/>
    <n v="139.26"/>
    <n v="146.11999999999998"/>
    <n v="143.23333333333335"/>
    <n v="140.08000000000001"/>
    <n v="139.4"/>
    <n v="137.04"/>
    <n v="124.64000000000001"/>
    <n v="134.34"/>
    <n v="144.83999999999997"/>
    <n v="130.21999999999997"/>
    <n v="133.72"/>
    <n v="140.02000000000001"/>
    <n v="1793.9600000000003"/>
  </r>
  <r>
    <x v="0"/>
    <x v="5"/>
    <x v="0"/>
    <x v="59"/>
    <n v="5"/>
    <x v="165"/>
    <n v="147.66"/>
    <n v="134.04"/>
    <n v="141.94"/>
    <n v="120.32"/>
    <n v="153.94"/>
    <n v="138.46"/>
    <n v="120.12"/>
    <n v="109.5"/>
    <n v="138.54000000000002"/>
    <n v="129.64000000000001"/>
    <n v="151.6"/>
    <n v="138.4"/>
    <n v="158.69999999999999"/>
    <n v="145.12"/>
    <n v="136.56"/>
    <n v="143.83999999999997"/>
    <n v="142.96666666666667"/>
    <n v="135.5"/>
    <n v="137.40000000000003"/>
    <n v="135.47999999999999"/>
    <n v="123.38"/>
    <n v="132.58000000000001"/>
    <n v="142.64000000000001"/>
    <n v="129.76"/>
    <n v="132.24"/>
    <n v="137.94"/>
    <n v="1760.5400000000002"/>
  </r>
  <r>
    <x v="1"/>
    <x v="5"/>
    <x v="0"/>
    <x v="59"/>
    <n v="5"/>
    <x v="166"/>
    <n v="148.26"/>
    <n v="134.06"/>
    <n v="141.82"/>
    <n v="119.86"/>
    <n v="153.08000000000001"/>
    <n v="139.63999999999999"/>
    <n v="118.96"/>
    <n v="109.36"/>
    <n v="138.73999999999998"/>
    <n v="129.26"/>
    <n v="151.1"/>
    <n v="138.45999999999998"/>
    <n v="158.95999999999998"/>
    <n v="144.24"/>
    <n v="135.36000000000001"/>
    <n v="142.91999999999999"/>
    <n v="142.85"/>
    <n v="134.26000000000002"/>
    <n v="136.61999999999998"/>
    <n v="135.04000000000002"/>
    <n v="122.84"/>
    <n v="131.74"/>
    <n v="142.32"/>
    <n v="129.54"/>
    <n v="131.74"/>
    <n v="137.68"/>
    <n v="1758.8799999999999"/>
  </r>
  <r>
    <x v="2"/>
    <x v="5"/>
    <x v="0"/>
    <x v="59"/>
    <n v="5"/>
    <x v="167"/>
    <n v="148.47999999999999"/>
    <n v="135.82"/>
    <n v="142.36000000000001"/>
    <n v="121.4"/>
    <n v="153.47999999999999"/>
    <n v="144.19999999999999"/>
    <n v="121.68"/>
    <n v="111.16"/>
    <n v="138.45999999999998"/>
    <n v="130.5"/>
    <n v="152.32"/>
    <n v="139.57999999999998"/>
    <n v="158.12"/>
    <n v="146.82"/>
    <n v="138.80000000000001"/>
    <n v="145.63999999999999"/>
    <n v="142.73333333333332"/>
    <n v="138.68"/>
    <n v="138.74"/>
    <n v="136.44"/>
    <n v="124.38000000000002"/>
    <n v="133.82"/>
    <n v="143.4"/>
    <n v="130.19999999999999"/>
    <n v="133.16"/>
    <n v="138.95999999999998"/>
    <n v="1776.4"/>
  </r>
  <r>
    <x v="0"/>
    <x v="5"/>
    <x v="1"/>
    <x v="60"/>
    <n v="4"/>
    <x v="168"/>
    <n v="145.41999999999999"/>
    <n v="133.32"/>
    <n v="141.58000000000001"/>
    <n v="120.22"/>
    <n v="153.76"/>
    <n v="132.9"/>
    <n v="121.18"/>
    <n v="111.32"/>
    <n v="138.52000000000001"/>
    <n v="129.36000000000001"/>
    <n v="151.26"/>
    <n v="137.45999999999998"/>
    <n v="157.9"/>
    <n v="144.52000000000001"/>
    <n v="135.88"/>
    <n v="143.21999999999997"/>
    <n v="143"/>
    <n v="134.78000000000003"/>
    <n v="136.72000000000003"/>
    <n v="134.9"/>
    <n v="122.46"/>
    <n v="131.94"/>
    <n v="141.91999999999999"/>
    <n v="129.30000000000001"/>
    <n v="131.54"/>
    <n v="137.23999999999998"/>
    <n v="1752.4799999999998"/>
  </r>
  <r>
    <x v="1"/>
    <x v="5"/>
    <x v="1"/>
    <x v="60"/>
    <n v="4"/>
    <x v="169"/>
    <n v="145.84"/>
    <n v="132.86000000000001"/>
    <n v="141.52000000000001"/>
    <n v="119.72"/>
    <n v="153.4"/>
    <n v="133"/>
    <n v="119.96"/>
    <n v="110.2"/>
    <n v="138.69999999999999"/>
    <n v="128.95999999999998"/>
    <n v="150.84"/>
    <n v="137.35999999999999"/>
    <n v="158.26000000000002"/>
    <n v="143.69999999999999"/>
    <n v="134.69999999999999"/>
    <n v="142.34"/>
    <n v="143.05000000000001"/>
    <n v="133.4"/>
    <n v="136.02000000000001"/>
    <n v="134.57999999999998"/>
    <n v="121.98000000000002"/>
    <n v="131.1"/>
    <n v="141.6"/>
    <n v="129.19999999999999"/>
    <n v="131.12"/>
    <n v="136.98000000000002"/>
    <n v="1748.44"/>
  </r>
  <r>
    <x v="2"/>
    <x v="5"/>
    <x v="1"/>
    <x v="60"/>
    <n v="4"/>
    <x v="170"/>
    <n v="146.6"/>
    <n v="134.04"/>
    <n v="142.1"/>
    <n v="121.2"/>
    <n v="154.19999999999999"/>
    <n v="136.18"/>
    <n v="122.36"/>
    <n v="110.56"/>
    <n v="138.18"/>
    <n v="130.21999999999997"/>
    <n v="152.04000000000002"/>
    <n v="138.22"/>
    <n v="157.88000000000002"/>
    <n v="146.4"/>
    <n v="138.16"/>
    <n v="145.16"/>
    <n v="143.1"/>
    <n v="137.5"/>
    <n v="138.1"/>
    <n v="136"/>
    <n v="123.67999999999999"/>
    <n v="133.14000000000001"/>
    <n v="142.68"/>
    <n v="129.95999999999998"/>
    <n v="132.6"/>
    <n v="138.11999999999998"/>
    <n v="1762.5"/>
  </r>
  <r>
    <x v="0"/>
    <x v="5"/>
    <x v="2"/>
    <x v="61"/>
    <n v="3"/>
    <x v="171"/>
    <n v="143.86000000000001"/>
    <n v="136.1"/>
    <n v="141.16"/>
    <n v="120.1"/>
    <n v="148.82"/>
    <n v="132.66"/>
    <n v="122.36"/>
    <n v="114.64"/>
    <n v="138.44"/>
    <n v="128.97999999999999"/>
    <n v="150.57999999999998"/>
    <n v="136.97999999999996"/>
    <n v="157.27999999999997"/>
    <n v="143.61999999999998"/>
    <n v="135.32"/>
    <n v="142.38000000000002"/>
    <n v="142.29999999999998"/>
    <n v="134.78"/>
    <n v="135.80000000000001"/>
    <n v="134.08000000000001"/>
    <n v="121.52000000000001"/>
    <n v="131.18"/>
    <n v="140.74"/>
    <n v="128.44"/>
    <n v="130.61999999999998"/>
    <n v="136.61999999999998"/>
    <n v="1750.7"/>
  </r>
  <r>
    <x v="1"/>
    <x v="5"/>
    <x v="2"/>
    <x v="61"/>
    <n v="3"/>
    <x v="172"/>
    <n v="143.97999999999999"/>
    <n v="134.88"/>
    <n v="141.08000000000001"/>
    <n v="119.66"/>
    <n v="148.94"/>
    <n v="131.58000000000001"/>
    <n v="121.2"/>
    <n v="113.96"/>
    <n v="138.82"/>
    <n v="128.66000000000003"/>
    <n v="150.26"/>
    <n v="136.76"/>
    <n v="157.63999999999999"/>
    <n v="142.84"/>
    <n v="134.06"/>
    <n v="141.51999999999998"/>
    <n v="142.44999999999999"/>
    <n v="133.56"/>
    <n v="135.13999999999999"/>
    <n v="133.78000000000003"/>
    <n v="120.97999999999999"/>
    <n v="130.41999999999999"/>
    <n v="140.47999999999999"/>
    <n v="128.41999999999999"/>
    <n v="130.21999999999997"/>
    <n v="136.30000000000001"/>
    <n v="1745.72"/>
  </r>
  <r>
    <x v="2"/>
    <x v="5"/>
    <x v="2"/>
    <x v="61"/>
    <n v="3"/>
    <x v="173"/>
    <n v="144.5"/>
    <n v="134.88"/>
    <n v="141.68"/>
    <n v="121.08"/>
    <n v="152.74"/>
    <n v="133.54"/>
    <n v="123.54"/>
    <n v="113.48"/>
    <n v="138.16"/>
    <n v="129.85999999999999"/>
    <n v="151.6"/>
    <n v="137.62"/>
    <n v="157.1"/>
    <n v="145.66"/>
    <n v="137.54"/>
    <n v="144.44"/>
    <n v="142.6"/>
    <n v="137.14000000000001"/>
    <n v="137.34"/>
    <n v="135.35999999999999"/>
    <n v="122.7"/>
    <n v="132.41999999999999"/>
    <n v="141.80000000000001"/>
    <n v="129.32000000000002"/>
    <n v="131.82"/>
    <n v="137.45999999999998"/>
    <n v="1759.1"/>
  </r>
  <r>
    <x v="0"/>
    <x v="5"/>
    <x v="3"/>
    <x v="62"/>
    <n v="2"/>
    <x v="174"/>
    <n v="143.41999999999999"/>
    <n v="139.26"/>
    <n v="140.84"/>
    <n v="119.84"/>
    <n v="143.84"/>
    <n v="137.16"/>
    <n v="123.56"/>
    <n v="116.34"/>
    <n v="138.11999999999998"/>
    <n v="128.48000000000002"/>
    <n v="149.76000000000002"/>
    <n v="137.06"/>
    <n v="156.45999999999998"/>
    <n v="142.94"/>
    <n v="134.76000000000002"/>
    <n v="141.72000000000003"/>
    <n v="141.53333333333333"/>
    <n v="135.07999999999998"/>
    <n v="135.14000000000001"/>
    <n v="133.4"/>
    <n v="120.66"/>
    <n v="130.52000000000001"/>
    <n v="139.64000000000001"/>
    <n v="127.74000000000001"/>
    <n v="129.80000000000001"/>
    <n v="136.32"/>
    <n v="1753.4599999999998"/>
  </r>
  <r>
    <x v="1"/>
    <x v="5"/>
    <x v="3"/>
    <x v="62"/>
    <n v="2"/>
    <x v="175"/>
    <n v="143.4"/>
    <n v="138.80000000000001"/>
    <n v="140.78"/>
    <n v="119.4"/>
    <n v="143.19999999999999"/>
    <n v="135.6"/>
    <n v="122.44"/>
    <n v="115.98"/>
    <n v="138.56"/>
    <n v="128.19999999999999"/>
    <n v="149.5"/>
    <n v="136.76"/>
    <n v="157.06"/>
    <n v="142.06"/>
    <n v="133.51999999999998"/>
    <n v="140.78"/>
    <n v="141.65"/>
    <n v="133.9"/>
    <n v="134.28"/>
    <n v="133.01999999999998"/>
    <n v="120.2"/>
    <n v="129.73999999999998"/>
    <n v="139.30000000000001"/>
    <n v="127.62"/>
    <n v="129.35999999999999"/>
    <n v="135.91999999999999"/>
    <n v="1748.36"/>
  </r>
  <r>
    <x v="2"/>
    <x v="5"/>
    <x v="3"/>
    <x v="62"/>
    <n v="2"/>
    <x v="176"/>
    <n v="143.69999999999999"/>
    <n v="138"/>
    <n v="141.28"/>
    <n v="120.86"/>
    <n v="147.38"/>
    <n v="135.24"/>
    <n v="124.72"/>
    <n v="115.94"/>
    <n v="137.85999999999999"/>
    <n v="129.39999999999998"/>
    <n v="150.84"/>
    <n v="137.36000000000001"/>
    <n v="156.42000000000002"/>
    <n v="144.82"/>
    <n v="136.95999999999998"/>
    <n v="143.66"/>
    <n v="141.76666666666668"/>
    <n v="137.19999999999999"/>
    <n v="136.47999999999999"/>
    <n v="134.57999999999998"/>
    <n v="121.78"/>
    <n v="131.64000000000001"/>
    <n v="140.6"/>
    <n v="128.45999999999998"/>
    <n v="130.9"/>
    <n v="136.94"/>
    <n v="1758.7799999999997"/>
  </r>
  <r>
    <x v="0"/>
    <x v="5"/>
    <x v="4"/>
    <x v="63"/>
    <n v="1"/>
    <x v="177"/>
    <n v="143.80000000000001"/>
    <n v="142.32"/>
    <n v="140.82"/>
    <n v="119.88"/>
    <n v="141.58000000000001"/>
    <n v="146.69999999999999"/>
    <n v="124.94"/>
    <n v="117.78"/>
    <n v="138.06"/>
    <n v="128.5"/>
    <n v="149.38"/>
    <n v="138.22"/>
    <n v="155.71999999999997"/>
    <n v="142.56"/>
    <n v="134.44"/>
    <n v="141.34"/>
    <n v="140.70000000000002"/>
    <n v="135.18"/>
    <n v="134.80000000000001"/>
    <n v="132.85999999999999"/>
    <n v="119.8"/>
    <n v="130.19999999999999"/>
    <n v="139.28000000000003"/>
    <n v="127.28"/>
    <n v="129.24"/>
    <n v="136.56"/>
    <n v="1767.66"/>
  </r>
  <r>
    <x v="1"/>
    <x v="5"/>
    <x v="4"/>
    <x v="63"/>
    <n v="1"/>
    <x v="178"/>
    <n v="143.62"/>
    <n v="141.62"/>
    <n v="140.6"/>
    <n v="119.32"/>
    <n v="140.58000000000001"/>
    <n v="144.38"/>
    <n v="123.74"/>
    <n v="117.3"/>
    <n v="138.32"/>
    <n v="127.97999999999999"/>
    <n v="148.94"/>
    <n v="137.66"/>
    <n v="155.97999999999999"/>
    <n v="141.66"/>
    <n v="133.1"/>
    <n v="140.36000000000001"/>
    <n v="140.85000000000002"/>
    <n v="134.06"/>
    <n v="133.87999999999997"/>
    <n v="132.41999999999999"/>
    <n v="119.3"/>
    <n v="129.32"/>
    <n v="138.76"/>
    <n v="127.1"/>
    <n v="128.69999999999999"/>
    <n v="135.97999999999999"/>
    <n v="1759.6000000000001"/>
  </r>
  <r>
    <x v="2"/>
    <x v="5"/>
    <x v="4"/>
    <x v="63"/>
    <n v="1"/>
    <x v="179"/>
    <n v="143.63999999999999"/>
    <n v="140.9"/>
    <n v="141.08000000000001"/>
    <n v="120.68"/>
    <n v="144.4"/>
    <n v="141.88"/>
    <n v="125.92"/>
    <n v="117.26"/>
    <n v="137.48000000000002"/>
    <n v="129.04000000000002"/>
    <n v="150.14000000000001"/>
    <n v="137.94"/>
    <n v="155.46"/>
    <n v="144.30000000000001"/>
    <n v="136.52000000000001"/>
    <n v="143.14000000000001"/>
    <n v="141.00000000000003"/>
    <n v="137.12"/>
    <n v="135.96"/>
    <n v="133.95999999999998"/>
    <n v="120.96"/>
    <n v="131.1"/>
    <n v="139.88000000000002"/>
    <n v="127.85999999999999"/>
    <n v="130.19999999999999"/>
    <n v="136.9"/>
    <n v="1766.3400000000001"/>
  </r>
  <r>
    <x v="0"/>
    <x v="6"/>
    <x v="5"/>
    <x v="64"/>
    <n v="12"/>
    <x v="180"/>
    <n v="143.54"/>
    <n v="144.66"/>
    <n v="140.80000000000001"/>
    <n v="119.82"/>
    <n v="141.08000000000001"/>
    <n v="157.69999999999999"/>
    <n v="126.58"/>
    <n v="120.18"/>
    <n v="137.82"/>
    <n v="128.54"/>
    <n v="149.06"/>
    <n v="139.68"/>
    <n v="155.14000000000001"/>
    <n v="142.19999999999999"/>
    <n v="134.16000000000003"/>
    <n v="141.02000000000001"/>
    <n v="139.53333333333333"/>
    <n v="135.11999999999998"/>
    <n v="134.56"/>
    <n v="132.47999999999999"/>
    <n v="118.96"/>
    <n v="129.69999999999999"/>
    <n v="139"/>
    <n v="126.6"/>
    <n v="128.74"/>
    <n v="136.9"/>
    <n v="1785.0199999999998"/>
  </r>
  <r>
    <x v="1"/>
    <x v="6"/>
    <x v="5"/>
    <x v="64"/>
    <n v="12"/>
    <x v="181"/>
    <n v="143.63999999999999"/>
    <n v="144.44"/>
    <n v="140.63999999999999"/>
    <n v="119.34"/>
    <n v="139.9"/>
    <n v="155.82"/>
    <n v="125.28"/>
    <n v="119.56"/>
    <n v="138.16"/>
    <n v="128.12"/>
    <n v="148.68"/>
    <n v="139.22000000000003"/>
    <n v="155.44"/>
    <n v="141.30000000000001"/>
    <n v="132.88"/>
    <n v="140.04000000000002"/>
    <n v="139.75"/>
    <n v="133.92000000000002"/>
    <n v="133.63999999999999"/>
    <n v="131.91999999999999"/>
    <n v="118.42"/>
    <n v="128.95999999999998"/>
    <n v="138.57999999999998"/>
    <n v="126.5"/>
    <n v="128.18"/>
    <n v="136.32"/>
    <n v="1778.2800000000002"/>
  </r>
  <r>
    <x v="2"/>
    <x v="6"/>
    <x v="5"/>
    <x v="64"/>
    <n v="12"/>
    <x v="182"/>
    <n v="143.86000000000001"/>
    <n v="143.38"/>
    <n v="141.04"/>
    <n v="120.74"/>
    <n v="142.78"/>
    <n v="151.66"/>
    <n v="127.36"/>
    <n v="119"/>
    <n v="137.34"/>
    <n v="129.07999999999998"/>
    <n v="149.76"/>
    <n v="139.19999999999999"/>
    <n v="154.69999999999999"/>
    <n v="143.91999999999999"/>
    <n v="136.23999999999998"/>
    <n v="142.80000000000001"/>
    <n v="139.96666666666667"/>
    <n v="137.04"/>
    <n v="135.76"/>
    <n v="133.52000000000004"/>
    <n v="120.02000000000001"/>
    <n v="130.69999999999999"/>
    <n v="139.54000000000002"/>
    <n v="127.34"/>
    <n v="129.66"/>
    <n v="137.19999999999999"/>
    <n v="1781.0799999999997"/>
  </r>
  <r>
    <x v="0"/>
    <x v="6"/>
    <x v="6"/>
    <x v="65"/>
    <n v="11"/>
    <x v="183"/>
    <n v="142.66"/>
    <n v="144.16"/>
    <n v="140.63999999999999"/>
    <n v="119"/>
    <n v="141.62"/>
    <n v="170.24"/>
    <n v="128.56"/>
    <n v="122.4"/>
    <n v="137.32000000000002"/>
    <n v="128.66000000000003"/>
    <n v="148.80000000000001"/>
    <n v="141.26"/>
    <n v="154.33999999999997"/>
    <n v="141.96"/>
    <n v="133.84"/>
    <n v="140.76"/>
    <n v="138.76666666666665"/>
    <n v="134.30000000000001"/>
    <n v="134.28000000000003"/>
    <n v="132.02000000000004"/>
    <n v="118.5"/>
    <n v="129.33999999999997"/>
    <n v="138.9"/>
    <n v="126.44000000000001"/>
    <n v="128.4"/>
    <n v="137.26000000000002"/>
    <n v="1800.74"/>
  </r>
  <r>
    <x v="1"/>
    <x v="6"/>
    <x v="6"/>
    <x v="65"/>
    <n v="11"/>
    <x v="184"/>
    <n v="142.82"/>
    <n v="145.1"/>
    <n v="140.54"/>
    <n v="118.78"/>
    <n v="140.46"/>
    <n v="168.98"/>
    <n v="127.22"/>
    <n v="122.2"/>
    <n v="137.54000000000002"/>
    <n v="128.04000000000002"/>
    <n v="148.32"/>
    <n v="140.88000000000002"/>
    <n v="154.76"/>
    <n v="140.94"/>
    <n v="132.56"/>
    <n v="139.69999999999999"/>
    <n v="138.85"/>
    <n v="133.4"/>
    <n v="133.34"/>
    <n v="131.47999999999999"/>
    <n v="117.88000000000002"/>
    <n v="128.4"/>
    <n v="138.30000000000001"/>
    <n v="126.12"/>
    <n v="127.78000000000002"/>
    <n v="136.69999999999999"/>
    <n v="1796.2"/>
  </r>
  <r>
    <x v="2"/>
    <x v="6"/>
    <x v="6"/>
    <x v="65"/>
    <n v="11"/>
    <x v="174"/>
    <n v="143.28"/>
    <n v="144.52000000000001"/>
    <n v="141.04"/>
    <n v="120.38"/>
    <n v="142.76"/>
    <n v="162.36000000000001"/>
    <n v="129.13999999999999"/>
    <n v="121.32"/>
    <n v="137.07999999999998"/>
    <n v="129.19999999999999"/>
    <n v="149.48000000000002"/>
    <n v="140.66000000000003"/>
    <n v="154.23999999999998"/>
    <n v="143.6"/>
    <n v="135.94"/>
    <n v="142.5"/>
    <n v="138.93333333333331"/>
    <n v="136.71999999999997"/>
    <n v="135.54000000000002"/>
    <n v="133.19999999999999"/>
    <n v="119.36000000000001"/>
    <n v="130.24"/>
    <n v="139.30000000000001"/>
    <n v="126.85999999999999"/>
    <n v="129.26"/>
    <n v="137.6"/>
    <n v="1797"/>
  </r>
  <r>
    <x v="0"/>
    <x v="6"/>
    <x v="7"/>
    <x v="66"/>
    <n v="10"/>
    <x v="185"/>
    <n v="142.30000000000001"/>
    <n v="136.16"/>
    <n v="140.44"/>
    <n v="118.42"/>
    <n v="141.5"/>
    <n v="169.22"/>
    <n v="130.16"/>
    <n v="122.44"/>
    <n v="136.80000000000001"/>
    <n v="128.47999999999999"/>
    <n v="148.26"/>
    <n v="140.82"/>
    <n v="153"/>
    <n v="141.28"/>
    <n v="133.30000000000001"/>
    <n v="140.07999999999998"/>
    <n v="137.73333333333335"/>
    <n v="131.94"/>
    <n v="133.69999999999999"/>
    <n v="131.06"/>
    <n v="118.13999999999999"/>
    <n v="129.00000000000003"/>
    <n v="138.47999999999999"/>
    <n v="126.23999999999998"/>
    <n v="127.89999999999998"/>
    <n v="136.54000000000002"/>
    <n v="1790.1399999999999"/>
  </r>
  <r>
    <x v="1"/>
    <x v="6"/>
    <x v="7"/>
    <x v="66"/>
    <n v="10"/>
    <x v="186"/>
    <n v="142.4"/>
    <n v="138.54"/>
    <n v="140.30000000000001"/>
    <n v="117.98"/>
    <n v="140.6"/>
    <n v="172.56"/>
    <n v="129.12"/>
    <n v="122.76"/>
    <n v="137.04000000000002"/>
    <n v="128.06"/>
    <n v="147.97999999999999"/>
    <n v="141.16"/>
    <n v="153.54000000000002"/>
    <n v="140.44"/>
    <n v="132.14000000000001"/>
    <n v="139.19999999999999"/>
    <n v="137.95000000000002"/>
    <n v="131.38000000000002"/>
    <n v="132.89999999999998"/>
    <n v="130.74"/>
    <n v="117.6"/>
    <n v="128.18"/>
    <n v="138.18"/>
    <n v="126.11999999999998"/>
    <n v="127.43999999999998"/>
    <n v="136.40000000000003"/>
    <n v="1793.6"/>
  </r>
  <r>
    <x v="2"/>
    <x v="6"/>
    <x v="7"/>
    <x v="66"/>
    <n v="10"/>
    <x v="187"/>
    <n v="142.58000000000001"/>
    <n v="141.22"/>
    <n v="140.86000000000001"/>
    <n v="119.62"/>
    <n v="142.91999999999999"/>
    <n v="170.12"/>
    <n v="131.06"/>
    <n v="122.62"/>
    <n v="136.64000000000001"/>
    <n v="129.26000000000002"/>
    <n v="149.16"/>
    <n v="141.52000000000001"/>
    <n v="153.26"/>
    <n v="143.24"/>
    <n v="135.54"/>
    <n v="142.12000000000003"/>
    <n v="138.16666666666666"/>
    <n v="135.38"/>
    <n v="135.14000000000001"/>
    <n v="132.64000000000001"/>
    <n v="119"/>
    <n v="129.9"/>
    <n v="139.14000000000001"/>
    <n v="126.76000000000002"/>
    <n v="128.91999999999999"/>
    <n v="137.66"/>
    <n v="1803.18"/>
  </r>
  <r>
    <x v="0"/>
    <x v="6"/>
    <x v="8"/>
    <x v="67"/>
    <n v="9"/>
    <x v="188"/>
    <n v="142.41999999999999"/>
    <n v="130.56"/>
    <n v="139.82"/>
    <n v="117.98"/>
    <n v="142.12"/>
    <n v="160.41999999999999"/>
    <n v="131"/>
    <n v="121.78"/>
    <n v="136.19999999999999"/>
    <n v="128.34"/>
    <n v="147.48000000000002"/>
    <n v="139.34"/>
    <n v="151.86000000000001"/>
    <n v="140.34"/>
    <n v="132.63999999999999"/>
    <n v="139.19999999999999"/>
    <n v="136.23333333333332"/>
    <n v="129.94"/>
    <n v="133.19999999999999"/>
    <n v="130.18"/>
    <n v="118.24000000000001"/>
    <n v="128.5"/>
    <n v="137.85999999999999"/>
    <n v="125.76000000000002"/>
    <n v="127.5"/>
    <n v="135.4"/>
    <n v="1772.12"/>
  </r>
  <r>
    <x v="1"/>
    <x v="6"/>
    <x v="8"/>
    <x v="67"/>
    <n v="9"/>
    <x v="189"/>
    <n v="142.46"/>
    <n v="130.69999999999999"/>
    <n v="139.9"/>
    <n v="117.64"/>
    <n v="140.86000000000001"/>
    <n v="162.04"/>
    <n v="130.04"/>
    <n v="121.94"/>
    <n v="136.51999999999998"/>
    <n v="127.74000000000001"/>
    <n v="147.24"/>
    <n v="139.44"/>
    <n v="152.22"/>
    <n v="139.51999999999998"/>
    <n v="131.52000000000001"/>
    <n v="138.32"/>
    <n v="136.5"/>
    <n v="128.9"/>
    <n v="132.33999999999997"/>
    <n v="129.76"/>
    <n v="117.55999999999999"/>
    <n v="127.72"/>
    <n v="137.52000000000001"/>
    <n v="125.66000000000001"/>
    <n v="126.97999999999999"/>
    <n v="135.10000000000002"/>
    <n v="1771.2"/>
  </r>
  <r>
    <x v="2"/>
    <x v="6"/>
    <x v="8"/>
    <x v="67"/>
    <n v="9"/>
    <x v="190"/>
    <n v="142.36000000000001"/>
    <n v="132.86000000000001"/>
    <n v="140.46"/>
    <n v="119.06"/>
    <n v="142.82"/>
    <n v="163.5"/>
    <n v="132.30000000000001"/>
    <n v="121.96"/>
    <n v="136.26"/>
    <n v="129.16000000000003"/>
    <n v="148.52000000000001"/>
    <n v="140.32"/>
    <n v="151.92000000000002"/>
    <n v="142.5"/>
    <n v="134.9"/>
    <n v="141.37999999999997"/>
    <n v="136.76666666666668"/>
    <n v="133.00000000000003"/>
    <n v="134.6"/>
    <n v="131.69999999999999"/>
    <n v="118.74000000000001"/>
    <n v="129.56"/>
    <n v="138.64000000000001"/>
    <n v="126.4"/>
    <n v="128.41999999999999"/>
    <n v="136.62"/>
    <n v="1784.8"/>
  </r>
  <r>
    <x v="0"/>
    <x v="6"/>
    <x v="9"/>
    <x v="68"/>
    <n v="8"/>
    <x v="191"/>
    <n v="143.08000000000001"/>
    <n v="129.56"/>
    <n v="139.12"/>
    <n v="117.58"/>
    <n v="144.30000000000001"/>
    <n v="165.3"/>
    <n v="131.04"/>
    <n v="121.5"/>
    <n v="135.95999999999998"/>
    <n v="128.27999999999997"/>
    <n v="146.85999999999999"/>
    <n v="139.86000000000001"/>
    <n v="150.86000000000001"/>
    <n v="139.54000000000002"/>
    <n v="132.16000000000003"/>
    <n v="138.47999999999999"/>
    <n v="134.83333333333334"/>
    <n v="128.62"/>
    <n v="132.76000000000002"/>
    <n v="129.68"/>
    <n v="117.82000000000001"/>
    <n v="127.94000000000001"/>
    <n v="137.80000000000001"/>
    <n v="124.85999999999999"/>
    <n v="127.02000000000001"/>
    <n v="135.18"/>
    <n v="1776.6599999999999"/>
  </r>
  <r>
    <x v="1"/>
    <x v="6"/>
    <x v="9"/>
    <x v="68"/>
    <n v="8"/>
    <x v="192"/>
    <n v="142.94"/>
    <n v="129.6"/>
    <n v="139.16"/>
    <n v="117.16"/>
    <n v="143.30000000000001"/>
    <n v="164.04"/>
    <n v="130.13999999999999"/>
    <n v="121.64"/>
    <n v="136.14000000000001"/>
    <n v="127.72"/>
    <n v="146.58000000000001"/>
    <n v="139.54000000000002"/>
    <n v="151.21999999999997"/>
    <n v="138.70000000000002"/>
    <n v="131"/>
    <n v="137.58000000000001"/>
    <n v="135.05000000000001"/>
    <n v="127.54"/>
    <n v="131.95999999999998"/>
    <n v="129.19999999999999"/>
    <n v="117.41999999999999"/>
    <n v="127.22"/>
    <n v="137.23999999999998"/>
    <n v="124.92"/>
    <n v="126.58"/>
    <n v="134.66"/>
    <n v="1772.16"/>
  </r>
  <r>
    <x v="2"/>
    <x v="6"/>
    <x v="9"/>
    <x v="68"/>
    <n v="8"/>
    <x v="193"/>
    <n v="142.54"/>
    <n v="130.13999999999999"/>
    <n v="139.80000000000001"/>
    <n v="118.62"/>
    <n v="144.1"/>
    <n v="159.5"/>
    <n v="132.72"/>
    <n v="121.5"/>
    <n v="135.76"/>
    <n v="129.06"/>
    <n v="147.74"/>
    <n v="139.52000000000001"/>
    <n v="150.9"/>
    <n v="141.6"/>
    <n v="134.26"/>
    <n v="140.54000000000002"/>
    <n v="135.26666666666668"/>
    <n v="131.38000000000002"/>
    <n v="134.10000000000002"/>
    <n v="130.9"/>
    <n v="118.7"/>
    <n v="129"/>
    <n v="138.12"/>
    <n v="125.74000000000001"/>
    <n v="127.96"/>
    <n v="135.77999999999997"/>
    <n v="1775.74"/>
  </r>
  <r>
    <x v="0"/>
    <x v="6"/>
    <x v="10"/>
    <x v="69"/>
    <n v="7"/>
    <x v="194"/>
    <n v="145.06"/>
    <n v="129.41999999999999"/>
    <n v="138.58000000000001"/>
    <n v="117.4"/>
    <n v="143.16"/>
    <n v="165.76"/>
    <n v="131.46"/>
    <n v="120.98"/>
    <n v="135.82"/>
    <n v="128.1"/>
    <n v="146.07999999999998"/>
    <n v="139.68"/>
    <n v="149.44"/>
    <n v="138.64000000000001"/>
    <n v="131.47999999999996"/>
    <n v="137.62"/>
    <n v="133.20000000000002"/>
    <n v="127.93999999999998"/>
    <n v="132.04000000000002"/>
    <n v="129.04000000000002"/>
    <n v="116.64000000000001"/>
    <n v="127.26000000000002"/>
    <n v="137.35999999999999"/>
    <n v="123.81999999999998"/>
    <n v="126.2"/>
    <n v="134.54000000000002"/>
    <n v="1775.1799999999998"/>
  </r>
  <r>
    <x v="1"/>
    <x v="6"/>
    <x v="10"/>
    <x v="69"/>
    <n v="7"/>
    <x v="195"/>
    <n v="144.9"/>
    <n v="129.32"/>
    <n v="138.58000000000001"/>
    <n v="116.84"/>
    <n v="143.47999999999999"/>
    <n v="169.18"/>
    <n v="130.38"/>
    <n v="121.22"/>
    <n v="136.16000000000003"/>
    <n v="127.55999999999999"/>
    <n v="145.9"/>
    <n v="140.1"/>
    <n v="149.91999999999999"/>
    <n v="137.84"/>
    <n v="130.45999999999998"/>
    <n v="136.78000000000003"/>
    <n v="133.5"/>
    <n v="126.84"/>
    <n v="131.38000000000002"/>
    <n v="128.66"/>
    <n v="116.28"/>
    <n v="126.6"/>
    <n v="137.16000000000003"/>
    <n v="123.84"/>
    <n v="125.84"/>
    <n v="134.38"/>
    <n v="1777.3600000000001"/>
  </r>
  <r>
    <x v="2"/>
    <x v="6"/>
    <x v="10"/>
    <x v="69"/>
    <n v="7"/>
    <x v="191"/>
    <n v="143.62"/>
    <n v="129.54"/>
    <n v="139.08000000000001"/>
    <n v="118.3"/>
    <n v="145.16"/>
    <n v="165.06"/>
    <n v="132.86000000000001"/>
    <n v="121.12"/>
    <n v="135.54000000000002"/>
    <n v="129.02000000000004"/>
    <n v="147.01999999999998"/>
    <n v="140.06"/>
    <n v="149.77999999999997"/>
    <n v="140.74"/>
    <n v="133.66"/>
    <n v="139.74"/>
    <n v="133.79999999999998"/>
    <n v="130.38"/>
    <n v="133.52000000000001"/>
    <n v="130.33999999999997"/>
    <n v="117.88"/>
    <n v="128.36000000000001"/>
    <n v="137.97999999999999"/>
    <n v="124.7"/>
    <n v="127.3"/>
    <n v="135.54000000000002"/>
    <n v="1780.6"/>
  </r>
  <r>
    <x v="0"/>
    <x v="6"/>
    <x v="11"/>
    <x v="70"/>
    <n v="6"/>
    <x v="196"/>
    <n v="146.1"/>
    <n v="128.72"/>
    <n v="138.13999999999999"/>
    <n v="117.38"/>
    <n v="140.12"/>
    <n v="146.18"/>
    <n v="133.47999999999999"/>
    <n v="120.18"/>
    <n v="135.85999999999999"/>
    <n v="127.64000000000001"/>
    <n v="145.18"/>
    <n v="136.82"/>
    <n v="147.76"/>
    <n v="137.80000000000001"/>
    <n v="130.88"/>
    <n v="136.78"/>
    <n v="131.79999999999998"/>
    <n v="127.52000000000002"/>
    <n v="131.30000000000001"/>
    <n v="128.14000000000001"/>
    <n v="116.42"/>
    <n v="126.54"/>
    <n v="136.14000000000001"/>
    <n v="123.35999999999999"/>
    <n v="125.58"/>
    <n v="132.76"/>
    <n v="1749.1000000000001"/>
  </r>
  <r>
    <x v="1"/>
    <x v="6"/>
    <x v="11"/>
    <x v="70"/>
    <n v="6"/>
    <x v="197"/>
    <n v="146.5"/>
    <n v="129.04"/>
    <n v="138.12"/>
    <n v="116.82"/>
    <n v="140.30000000000001"/>
    <n v="152.32"/>
    <n v="132.16"/>
    <n v="120.5"/>
    <n v="136.19999999999999"/>
    <n v="127.25999999999999"/>
    <n v="145.04000000000002"/>
    <n v="137.64000000000001"/>
    <n v="148.24"/>
    <n v="137.04000000000002"/>
    <n v="129.76000000000002"/>
    <n v="135.98000000000002"/>
    <n v="132"/>
    <n v="126.44000000000001"/>
    <n v="130.64000000000001"/>
    <n v="127.75999999999999"/>
    <n v="115.74000000000001"/>
    <n v="125.9"/>
    <n v="136.12000000000003"/>
    <n v="123.26000000000002"/>
    <n v="125.13999999999999"/>
    <n v="132.82"/>
    <n v="1755.22"/>
  </r>
  <r>
    <x v="2"/>
    <x v="6"/>
    <x v="11"/>
    <x v="70"/>
    <n v="6"/>
    <x v="198"/>
    <n v="145.38"/>
    <n v="129.38"/>
    <n v="138.54"/>
    <n v="118.22"/>
    <n v="142.46"/>
    <n v="156.46"/>
    <n v="134"/>
    <n v="120.48"/>
    <n v="135.38000000000002"/>
    <n v="128.74"/>
    <n v="146.16"/>
    <n v="138.62"/>
    <n v="148.32"/>
    <n v="139.80000000000001"/>
    <n v="132.95999999999998"/>
    <n v="138.84"/>
    <n v="132.20000000000002"/>
    <n v="129.92000000000002"/>
    <n v="132.74"/>
    <n v="129.6"/>
    <n v="117.02000000000001"/>
    <n v="127.62"/>
    <n v="137.30000000000001"/>
    <n v="123.84"/>
    <n v="126.54"/>
    <n v="134.4"/>
    <n v="1767.5200000000004"/>
  </r>
  <r>
    <x v="0"/>
    <x v="6"/>
    <x v="0"/>
    <x v="71"/>
    <n v="5"/>
    <x v="199"/>
    <n v="143.68"/>
    <n v="127"/>
    <n v="137.72"/>
    <n v="117.34"/>
    <n v="138.28"/>
    <n v="129.91999999999999"/>
    <n v="136"/>
    <n v="119.76"/>
    <n v="136.44"/>
    <n v="127.26000000000002"/>
    <n v="144.56"/>
    <n v="134.34"/>
    <n v="146.88"/>
    <n v="137.35999999999999"/>
    <n v="130.56"/>
    <n v="136.34"/>
    <n v="131.86666666666667"/>
    <n v="127.66"/>
    <n v="130.85999999999999"/>
    <n v="127.7"/>
    <n v="116.73999999999998"/>
    <n v="126.12"/>
    <n v="135.22000000000003"/>
    <n v="123.05999999999999"/>
    <n v="125.32000000000001"/>
    <n v="131.56"/>
    <n v="1725.3"/>
  </r>
  <r>
    <x v="1"/>
    <x v="6"/>
    <x v="0"/>
    <x v="71"/>
    <n v="5"/>
    <x v="200"/>
    <n v="144.72"/>
    <n v="127.26"/>
    <n v="137.69999999999999"/>
    <n v="116.82"/>
    <n v="138.08000000000001"/>
    <n v="131.82"/>
    <n v="134.88"/>
    <n v="119.96"/>
    <n v="136.69999999999999"/>
    <n v="126.75999999999999"/>
    <n v="144.38"/>
    <n v="134.61999999999998"/>
    <n v="147.07999999999998"/>
    <n v="136.56"/>
    <n v="129.44"/>
    <n v="135.47999999999999"/>
    <n v="131.75"/>
    <n v="126.42"/>
    <n v="130.11999999999998"/>
    <n v="127.12"/>
    <n v="116.16"/>
    <n v="125.42"/>
    <n v="135.04"/>
    <n v="123"/>
    <n v="124.84"/>
    <n v="131.30000000000001"/>
    <n v="1726.7400000000002"/>
  </r>
  <r>
    <x v="2"/>
    <x v="6"/>
    <x v="0"/>
    <x v="71"/>
    <n v="5"/>
    <x v="197"/>
    <n v="144.74"/>
    <n v="128.1"/>
    <n v="138.13999999999999"/>
    <n v="118.32"/>
    <n v="139.82"/>
    <n v="136.28"/>
    <n v="136.19999999999999"/>
    <n v="119.76"/>
    <n v="135.5"/>
    <n v="128.28"/>
    <n v="145.34"/>
    <n v="135.6"/>
    <n v="146.9"/>
    <n v="139.11999999999998"/>
    <n v="132.42000000000002"/>
    <n v="138.14000000000001"/>
    <n v="131.63333333333333"/>
    <n v="129.45999999999998"/>
    <n v="132.04000000000002"/>
    <n v="128.82"/>
    <n v="117.12"/>
    <n v="126.97999999999999"/>
    <n v="136.00000000000003"/>
    <n v="123.47999999999999"/>
    <n v="126.03999999999999"/>
    <n v="132.68"/>
    <n v="1739.3999999999996"/>
  </r>
  <r>
    <x v="0"/>
    <x v="6"/>
    <x v="1"/>
    <x v="72"/>
    <n v="4"/>
    <x v="201"/>
    <n v="140.62"/>
    <n v="126.02"/>
    <n v="137.24"/>
    <n v="117.48"/>
    <n v="138.96"/>
    <n v="125"/>
    <n v="138.5"/>
    <n v="119.26"/>
    <n v="137.16"/>
    <n v="127.06000000000002"/>
    <n v="144.19999999999999"/>
    <n v="133.56"/>
    <n v="146.32"/>
    <n v="137.12"/>
    <n v="130.28000000000003"/>
    <n v="136.12000000000003"/>
    <n v="131.83333333333334"/>
    <n v="128.26000000000002"/>
    <n v="130.42000000000002"/>
    <n v="127.5"/>
    <n v="116.75999999999999"/>
    <n v="125.63999999999999"/>
    <n v="134.77999999999997"/>
    <n v="122.94000000000001"/>
    <n v="125.12"/>
    <n v="131.14000000000001"/>
    <n v="1717.98"/>
  </r>
  <r>
    <x v="1"/>
    <x v="6"/>
    <x v="1"/>
    <x v="72"/>
    <n v="4"/>
    <x v="202"/>
    <n v="141.19999999999999"/>
    <n v="125.86"/>
    <n v="137.24"/>
    <n v="116.84"/>
    <n v="138.18"/>
    <n v="125.82"/>
    <n v="137.26"/>
    <n v="119.66"/>
    <n v="137.54000000000002"/>
    <n v="126.58"/>
    <n v="144"/>
    <n v="133.6"/>
    <n v="146.68"/>
    <n v="136.28000000000003"/>
    <n v="129.19999999999999"/>
    <n v="135.24"/>
    <n v="131.9"/>
    <n v="127.14000000000001"/>
    <n v="129.73999999999998"/>
    <n v="126.97999999999999"/>
    <n v="116.25999999999999"/>
    <n v="125.12"/>
    <n v="134.6"/>
    <n v="122.8"/>
    <n v="124.67999999999999"/>
    <n v="130.83999999999997"/>
    <n v="1716.6399999999999"/>
  </r>
  <r>
    <x v="2"/>
    <x v="6"/>
    <x v="1"/>
    <x v="72"/>
    <n v="4"/>
    <x v="203"/>
    <n v="141.82"/>
    <n v="126.56"/>
    <n v="137.69999999999999"/>
    <n v="118.32"/>
    <n v="138.82"/>
    <n v="126.16"/>
    <n v="138.54"/>
    <n v="119.28"/>
    <n v="135.97999999999999"/>
    <n v="127.9"/>
    <n v="144.78"/>
    <n v="133.89999999999998"/>
    <n v="146.24"/>
    <n v="138.66000000000003"/>
    <n v="132.14000000000001"/>
    <n v="137.69999999999999"/>
    <n v="131.96666666666667"/>
    <n v="129.82"/>
    <n v="131.58000000000001"/>
    <n v="128.56"/>
    <n v="117.28"/>
    <n v="126.55999999999999"/>
    <n v="135.26000000000002"/>
    <n v="123.17999999999999"/>
    <n v="125.8"/>
    <n v="131.80000000000001"/>
    <n v="1722.7800000000002"/>
  </r>
  <r>
    <x v="0"/>
    <x v="6"/>
    <x v="2"/>
    <x v="73"/>
    <n v="3"/>
    <x v="204"/>
    <n v="139.30000000000001"/>
    <n v="127.48"/>
    <n v="136.47999999999999"/>
    <n v="117.84"/>
    <n v="138.86000000000001"/>
    <n v="122.2"/>
    <n v="141.19999999999999"/>
    <n v="118.68"/>
    <n v="138.30000000000001"/>
    <n v="126.88"/>
    <n v="143.97999999999999"/>
    <n v="133.19999999999999"/>
    <n v="145.83999999999997"/>
    <n v="136.66"/>
    <n v="129.88000000000002"/>
    <n v="135.68"/>
    <n v="131.29999999999998"/>
    <n v="128.1"/>
    <n v="130.01999999999998"/>
    <n v="127.17999999999999"/>
    <n v="117.3"/>
    <n v="125.32000000000001"/>
    <n v="134.22"/>
    <n v="122.7"/>
    <n v="125.02000000000001"/>
    <n v="130.88"/>
    <n v="1717.5000000000002"/>
  </r>
  <r>
    <x v="1"/>
    <x v="6"/>
    <x v="2"/>
    <x v="73"/>
    <n v="3"/>
    <x v="205"/>
    <n v="139.41999999999999"/>
    <n v="126.94"/>
    <n v="136.47999999999999"/>
    <n v="117.2"/>
    <n v="138.9"/>
    <n v="122.94"/>
    <n v="139.78"/>
    <n v="119"/>
    <n v="138.48000000000002"/>
    <n v="126.4"/>
    <n v="143.74"/>
    <n v="133.22"/>
    <n v="146.07999999999998"/>
    <n v="135.94"/>
    <n v="128.86000000000001"/>
    <n v="134.92000000000002"/>
    <n v="131.39999999999998"/>
    <n v="127.21999999999998"/>
    <n v="129.28"/>
    <n v="126.67999999999999"/>
    <n v="116.66"/>
    <n v="124.68000000000002"/>
    <n v="134.07999999999998"/>
    <n v="122.66"/>
    <n v="124.55999999999999"/>
    <n v="130.54000000000002"/>
    <n v="1715.48"/>
  </r>
  <r>
    <x v="2"/>
    <x v="6"/>
    <x v="2"/>
    <x v="73"/>
    <n v="3"/>
    <x v="206"/>
    <n v="139.6"/>
    <n v="126.62"/>
    <n v="137.13999999999999"/>
    <n v="118.56"/>
    <n v="139.58000000000001"/>
    <n v="123.26"/>
    <n v="140.97999999999999"/>
    <n v="118.66"/>
    <n v="136.76"/>
    <n v="127.74000000000001"/>
    <n v="144.41999999999999"/>
    <n v="133.45999999999998"/>
    <n v="145.68"/>
    <n v="138.28000000000003"/>
    <n v="131.76"/>
    <n v="137.35999999999999"/>
    <n v="131.49999999999997"/>
    <n v="130.06"/>
    <n v="131.13999999999999"/>
    <n v="128.34"/>
    <n v="117.42"/>
    <n v="126.08"/>
    <n v="134.78000000000003"/>
    <n v="123.06000000000002"/>
    <n v="125.62"/>
    <n v="131.45999999999998"/>
    <n v="1719.8400000000001"/>
  </r>
  <r>
    <x v="0"/>
    <x v="6"/>
    <x v="3"/>
    <x v="74"/>
    <n v="2"/>
    <x v="204"/>
    <n v="139.02000000000001"/>
    <n v="129.02000000000001"/>
    <n v="135.72"/>
    <n v="118.24"/>
    <n v="136.38"/>
    <n v="120.14"/>
    <n v="147.19999999999999"/>
    <n v="118.04"/>
    <n v="139.38"/>
    <n v="126.62"/>
    <n v="143.45999999999998"/>
    <n v="132.94"/>
    <n v="145.21999999999997"/>
    <n v="136.11999999999998"/>
    <n v="129.51999999999998"/>
    <n v="135.16000000000003"/>
    <n v="130.70000000000002"/>
    <n v="127.05999999999999"/>
    <n v="129.66"/>
    <n v="126.82000000000001"/>
    <n v="117.55999999999999"/>
    <n v="125.04"/>
    <n v="133.74"/>
    <n v="122.5"/>
    <n v="124.84"/>
    <n v="130.58000000000001"/>
    <n v="1719.2599999999998"/>
  </r>
  <r>
    <x v="1"/>
    <x v="6"/>
    <x v="3"/>
    <x v="74"/>
    <n v="2"/>
    <x v="204"/>
    <n v="139.16"/>
    <n v="128.88"/>
    <n v="135.54"/>
    <n v="117.58"/>
    <n v="136.30000000000001"/>
    <n v="120.42"/>
    <n v="144.6"/>
    <n v="118.4"/>
    <n v="139.76"/>
    <n v="126.18000000000002"/>
    <n v="143.38"/>
    <n v="132.84"/>
    <n v="145.50000000000003"/>
    <n v="135.4"/>
    <n v="128.47999999999999"/>
    <n v="134.4"/>
    <n v="130.80000000000001"/>
    <n v="126.24000000000001"/>
    <n v="128.96"/>
    <n v="126.35999999999999"/>
    <n v="117.17999999999999"/>
    <n v="124.5"/>
    <n v="133.51999999999998"/>
    <n v="122.38"/>
    <n v="124.46000000000001"/>
    <n v="130.23999999999998"/>
    <n v="1716.14"/>
  </r>
  <r>
    <x v="2"/>
    <x v="6"/>
    <x v="3"/>
    <x v="74"/>
    <n v="2"/>
    <x v="207"/>
    <n v="138.94"/>
    <n v="128.44"/>
    <n v="136.38"/>
    <n v="118.98"/>
    <n v="138.38"/>
    <n v="120.68"/>
    <n v="144.88"/>
    <n v="117.98"/>
    <n v="137.78"/>
    <n v="127.5"/>
    <n v="144.1"/>
    <n v="133.12"/>
    <n v="145.12"/>
    <n v="137.78"/>
    <n v="131.34"/>
    <n v="136.86000000000001"/>
    <n v="130.9"/>
    <n v="129.4"/>
    <n v="130.76"/>
    <n v="127.98000000000002"/>
    <n v="117.92"/>
    <n v="125.72"/>
    <n v="134.18"/>
    <n v="122.78"/>
    <n v="125.47999999999999"/>
    <n v="131.18"/>
    <n v="1720.3400000000001"/>
  </r>
  <r>
    <x v="0"/>
    <x v="6"/>
    <x v="4"/>
    <x v="75"/>
    <n v="1"/>
    <x v="208"/>
    <n v="138.6"/>
    <n v="131.06"/>
    <n v="135.18"/>
    <n v="118.3"/>
    <n v="133.74"/>
    <n v="119.44"/>
    <n v="155.26"/>
    <n v="116.68"/>
    <n v="140.28"/>
    <n v="126.31999999999998"/>
    <n v="142.92000000000002"/>
    <n v="132.9"/>
    <n v="144.5"/>
    <n v="135.78"/>
    <n v="129.32"/>
    <n v="134.82"/>
    <n v="129.9"/>
    <n v="125.85999999999999"/>
    <n v="129.32"/>
    <n v="126.52000000000001"/>
    <n v="117.25999999999999"/>
    <n v="124.62"/>
    <n v="133.52000000000001"/>
    <n v="121.96"/>
    <n v="124.5"/>
    <n v="130.26"/>
    <n v="1723.5200000000002"/>
  </r>
  <r>
    <x v="1"/>
    <x v="6"/>
    <x v="4"/>
    <x v="75"/>
    <n v="1"/>
    <x v="208"/>
    <n v="138.80000000000001"/>
    <n v="130.54"/>
    <n v="135"/>
    <n v="117.74"/>
    <n v="133.6"/>
    <n v="119.38"/>
    <n v="153.36000000000001"/>
    <n v="117.18"/>
    <n v="140.64000000000001"/>
    <n v="125.9"/>
    <n v="142.77999999999997"/>
    <n v="132.76000000000002"/>
    <n v="144.76"/>
    <n v="135"/>
    <n v="128.22"/>
    <n v="134"/>
    <n v="130.05000000000001"/>
    <n v="125.02000000000001"/>
    <n v="128.61999999999998"/>
    <n v="126.01999999999998"/>
    <n v="116.92"/>
    <n v="124.13999999999999"/>
    <n v="133.28"/>
    <n v="122.02000000000001"/>
    <n v="124.13999999999999"/>
    <n v="129.90000000000003"/>
    <n v="1720.5200000000002"/>
  </r>
  <r>
    <x v="2"/>
    <x v="6"/>
    <x v="4"/>
    <x v="75"/>
    <n v="1"/>
    <x v="209"/>
    <n v="138.78"/>
    <n v="129.78"/>
    <n v="135.82"/>
    <n v="119.26"/>
    <n v="135.62"/>
    <n v="119.58"/>
    <n v="151.94"/>
    <n v="117.1"/>
    <n v="138.78"/>
    <n v="127.21999999999998"/>
    <n v="143.54"/>
    <n v="133.04"/>
    <n v="144.48000000000002"/>
    <n v="137.28"/>
    <n v="131"/>
    <n v="136.35999999999999"/>
    <n v="130.20000000000002"/>
    <n v="128.26"/>
    <n v="130.42000000000002"/>
    <n v="127.62"/>
    <n v="117.83999999999999"/>
    <n v="125.4"/>
    <n v="133.84"/>
    <n v="122.5"/>
    <n v="125.2"/>
    <n v="130.9"/>
    <n v="1723.58"/>
  </r>
  <r>
    <x v="0"/>
    <x v="7"/>
    <x v="5"/>
    <x v="76"/>
    <n v="12"/>
    <x v="210"/>
    <n v="137.96"/>
    <n v="132.78"/>
    <n v="134.86000000000001"/>
    <n v="117.94"/>
    <n v="132.63999999999999"/>
    <n v="122.48"/>
    <n v="164.74"/>
    <n v="115.16"/>
    <n v="141"/>
    <n v="126.2"/>
    <n v="142.46"/>
    <n v="133.44"/>
    <n v="143.84"/>
    <n v="135.51999999999998"/>
    <n v="129.06"/>
    <n v="134.57999999999998"/>
    <n v="128.86666666666667"/>
    <n v="125.3"/>
    <n v="129.07999999999998"/>
    <n v="126.28"/>
    <n v="116.52000000000001"/>
    <n v="124.46"/>
    <n v="133.32"/>
    <n v="121.22"/>
    <n v="124.06000000000002"/>
    <n v="130.19999999999999"/>
    <n v="1734.0200000000004"/>
  </r>
  <r>
    <x v="1"/>
    <x v="7"/>
    <x v="5"/>
    <x v="76"/>
    <n v="12"/>
    <x v="211"/>
    <n v="138.13999999999999"/>
    <n v="132.9"/>
    <n v="134.68"/>
    <n v="117.44"/>
    <n v="132.12"/>
    <n v="120.86"/>
    <n v="163.06"/>
    <n v="115.52"/>
    <n v="141.42000000000002"/>
    <n v="125.7"/>
    <n v="142.30000000000001"/>
    <n v="133.12"/>
    <n v="144.12000000000003"/>
    <n v="134.76000000000002"/>
    <n v="128.06"/>
    <n v="133.76000000000002"/>
    <n v="129.05000000000001"/>
    <n v="124.25999999999999"/>
    <n v="128.38"/>
    <n v="125.76000000000002"/>
    <n v="116.2"/>
    <n v="123.84"/>
    <n v="133.14000000000001"/>
    <n v="121.18000000000002"/>
    <n v="123.67999999999999"/>
    <n v="129.69999999999999"/>
    <n v="1729.6599999999999"/>
  </r>
  <r>
    <x v="2"/>
    <x v="7"/>
    <x v="5"/>
    <x v="76"/>
    <n v="12"/>
    <x v="212"/>
    <n v="138.16"/>
    <n v="131.78"/>
    <n v="135.5"/>
    <n v="119.16"/>
    <n v="134"/>
    <n v="120.46"/>
    <n v="160.38"/>
    <n v="115.66"/>
    <n v="139.52000000000001"/>
    <n v="126.96"/>
    <n v="143.00000000000003"/>
    <n v="133.28"/>
    <n v="143.85999999999999"/>
    <n v="136.94"/>
    <n v="130.78000000000003"/>
    <n v="136.04000000000002"/>
    <n v="129.23333333333335"/>
    <n v="127.34"/>
    <n v="130.1"/>
    <n v="127.32000000000001"/>
    <n v="117.35999999999999"/>
    <n v="125.02000000000001"/>
    <n v="133.66000000000003"/>
    <n v="121.83999999999999"/>
    <n v="124.8"/>
    <n v="130.70000000000002"/>
    <n v="1730.6"/>
  </r>
  <r>
    <x v="0"/>
    <x v="7"/>
    <x v="6"/>
    <x v="77"/>
    <n v="11"/>
    <x v="213"/>
    <n v="137.84"/>
    <n v="132.63999999999999"/>
    <n v="134.69999999999999"/>
    <n v="117.36"/>
    <n v="133.34"/>
    <n v="134.86000000000001"/>
    <n v="170.96"/>
    <n v="114.48"/>
    <n v="140.98000000000002"/>
    <n v="125.96"/>
    <n v="141.94"/>
    <n v="135.07999999999998"/>
    <n v="142.97999999999999"/>
    <n v="135.14000000000001"/>
    <n v="128.66000000000003"/>
    <n v="134.24"/>
    <n v="128.9"/>
    <n v="124.25999999999999"/>
    <n v="128.66"/>
    <n v="125.92"/>
    <n v="115.92"/>
    <n v="124.34"/>
    <n v="133.01999999999998"/>
    <n v="121.83999999999999"/>
    <n v="123.78"/>
    <n v="130.74"/>
    <n v="1751.7"/>
  </r>
  <r>
    <x v="1"/>
    <x v="7"/>
    <x v="6"/>
    <x v="77"/>
    <n v="11"/>
    <x v="214"/>
    <n v="137.88"/>
    <n v="133.1"/>
    <n v="134.47999999999999"/>
    <n v="116.86"/>
    <n v="132.5"/>
    <n v="131.56"/>
    <n v="170.7"/>
    <n v="114.68"/>
    <n v="141.66"/>
    <n v="125.54"/>
    <n v="141.78000000000003"/>
    <n v="134.56"/>
    <n v="143.36000000000001"/>
    <n v="134.41999999999999"/>
    <n v="127.72"/>
    <n v="133.47999999999999"/>
    <n v="128.80000000000001"/>
    <n v="123.52000000000001"/>
    <n v="128.08000000000001"/>
    <n v="125.47999999999999"/>
    <n v="115.48000000000002"/>
    <n v="123.8"/>
    <n v="132.9"/>
    <n v="121.35999999999999"/>
    <n v="123.33999999999999"/>
    <n v="130.1"/>
    <n v="1746.92"/>
  </r>
  <r>
    <x v="2"/>
    <x v="7"/>
    <x v="6"/>
    <x v="77"/>
    <n v="11"/>
    <x v="215"/>
    <n v="137.74"/>
    <n v="132.66"/>
    <n v="135.24"/>
    <n v="118.74"/>
    <n v="133.54"/>
    <n v="127.12"/>
    <n v="168.06"/>
    <n v="114.52"/>
    <n v="139.95999999999998"/>
    <n v="126.8"/>
    <n v="142.49999999999997"/>
    <n v="134.26"/>
    <n v="143.12"/>
    <n v="136.64000000000001"/>
    <n v="130.45999999999998"/>
    <n v="135.78"/>
    <n v="128.70000000000002"/>
    <n v="126.7"/>
    <n v="129.78000000000003"/>
    <n v="127.04"/>
    <n v="116.62"/>
    <n v="124.85999999999999"/>
    <n v="133.4"/>
    <n v="121.55999999999999"/>
    <n v="124.4"/>
    <n v="130.88"/>
    <n v="1743.34"/>
  </r>
  <r>
    <x v="0"/>
    <x v="7"/>
    <x v="7"/>
    <x v="78"/>
    <n v="10"/>
    <x v="216"/>
    <n v="137.96"/>
    <n v="131.06"/>
    <n v="134.52000000000001"/>
    <n v="116.96"/>
    <n v="134.24"/>
    <n v="147.86000000000001"/>
    <n v="172.58"/>
    <n v="114.38"/>
    <n v="140.62"/>
    <n v="125.73999999999998"/>
    <n v="141.30000000000001"/>
    <n v="136.5"/>
    <n v="142.5"/>
    <n v="134.74"/>
    <n v="128.38000000000002"/>
    <n v="133.80000000000001"/>
    <n v="128.83333333333334"/>
    <n v="123.16000000000001"/>
    <n v="128.30000000000001"/>
    <n v="125.56000000000002"/>
    <n v="115.47999999999999"/>
    <n v="123.96000000000001"/>
    <n v="132.62"/>
    <n v="122.13999999999999"/>
    <n v="123.47999999999999"/>
    <n v="131.18"/>
    <n v="1764.2599999999998"/>
  </r>
  <r>
    <x v="1"/>
    <x v="7"/>
    <x v="7"/>
    <x v="78"/>
    <n v="10"/>
    <x v="217"/>
    <n v="138"/>
    <n v="131.44"/>
    <n v="134.32"/>
    <n v="116.4"/>
    <n v="133.38"/>
    <n v="146.4"/>
    <n v="172.88"/>
    <n v="114.52"/>
    <n v="141.30000000000001"/>
    <n v="125.23999999999998"/>
    <n v="141.17999999999998"/>
    <n v="136.23999999999998"/>
    <n v="142.72"/>
    <n v="133.98000000000002"/>
    <n v="127.38000000000002"/>
    <n v="133.04000000000002"/>
    <n v="128.9"/>
    <n v="122.2"/>
    <n v="127.66"/>
    <n v="125.1"/>
    <n v="115.06000000000002"/>
    <n v="123.46"/>
    <n v="132.58000000000001"/>
    <n v="122.05999999999999"/>
    <n v="123.1"/>
    <n v="130.66"/>
    <n v="1761.86"/>
  </r>
  <r>
    <x v="2"/>
    <x v="7"/>
    <x v="7"/>
    <x v="78"/>
    <n v="10"/>
    <x v="218"/>
    <n v="137.78"/>
    <n v="131.69999999999999"/>
    <n v="135.04"/>
    <n v="118.22"/>
    <n v="134.41999999999999"/>
    <n v="140.88"/>
    <n v="171.32"/>
    <n v="114.2"/>
    <n v="139.74"/>
    <n v="126.55999999999999"/>
    <n v="141.97999999999999"/>
    <n v="135.91999999999999"/>
    <n v="142.33999999999997"/>
    <n v="136.23999999999998"/>
    <n v="130.04000000000002"/>
    <n v="135.38000000000002"/>
    <n v="128.96666666666667"/>
    <n v="125.55999999999999"/>
    <n v="129.33999999999997"/>
    <n v="126.67999999999998"/>
    <n v="116.22"/>
    <n v="124.67999999999999"/>
    <n v="133.04000000000002"/>
    <n v="122.28"/>
    <n v="124.17999999999999"/>
    <n v="131.5"/>
    <n v="1759.1000000000001"/>
  </r>
  <r>
    <x v="0"/>
    <x v="7"/>
    <x v="8"/>
    <x v="79"/>
    <n v="9"/>
    <x v="219"/>
    <n v="137.97999999999999"/>
    <n v="130.4"/>
    <n v="134.24"/>
    <n v="116.52"/>
    <n v="135.32"/>
    <n v="151.47999999999999"/>
    <n v="172.28"/>
    <n v="114.16"/>
    <n v="140.19999999999999"/>
    <n v="125.61999999999998"/>
    <n v="140.5"/>
    <n v="136.64000000000001"/>
    <n v="142"/>
    <n v="134.1"/>
    <n v="127.97999999999999"/>
    <n v="133.22"/>
    <n v="128.16666666666666"/>
    <n v="122.72"/>
    <n v="127.91999999999999"/>
    <n v="125.02000000000001"/>
    <n v="114.74000000000001"/>
    <n v="123.42"/>
    <n v="132.09999999999997"/>
    <n v="121.97999999999999"/>
    <n v="122.96"/>
    <n v="130.94"/>
    <n v="1765.1000000000001"/>
  </r>
  <r>
    <x v="1"/>
    <x v="7"/>
    <x v="8"/>
    <x v="79"/>
    <n v="9"/>
    <x v="220"/>
    <n v="137.91999999999999"/>
    <n v="130.34"/>
    <n v="134.1"/>
    <n v="116.04"/>
    <n v="134.41999999999999"/>
    <n v="151.82"/>
    <n v="172.62"/>
    <n v="114.36"/>
    <n v="140.9"/>
    <n v="125.08"/>
    <n v="140.42000000000002"/>
    <n v="136.6"/>
    <n v="142.37999999999997"/>
    <n v="133.5"/>
    <n v="127.1"/>
    <n v="132.56"/>
    <n v="128.30000000000001"/>
    <n v="121.63999999999999"/>
    <n v="127.38"/>
    <n v="124.67999999999999"/>
    <n v="114.38"/>
    <n v="122.97999999999999"/>
    <n v="132.13999999999999"/>
    <n v="121.84"/>
    <n v="122.66"/>
    <n v="130.54"/>
    <n v="1764.32"/>
  </r>
  <r>
    <x v="2"/>
    <x v="7"/>
    <x v="8"/>
    <x v="79"/>
    <n v="9"/>
    <x v="221"/>
    <n v="137.86000000000001"/>
    <n v="130.34"/>
    <n v="134.82"/>
    <n v="117.88"/>
    <n v="135.30000000000001"/>
    <n v="149.6"/>
    <n v="171.9"/>
    <n v="114.02"/>
    <n v="139.30000000000001"/>
    <n v="126.4"/>
    <n v="141.28000000000003"/>
    <n v="136.78"/>
    <n v="141.84"/>
    <n v="135.73999999999998"/>
    <n v="129.68"/>
    <n v="134.85999999999999"/>
    <n v="128.43333333333334"/>
    <n v="124.74000000000001"/>
    <n v="128.94"/>
    <n v="126.22"/>
    <n v="115.66"/>
    <n v="124.2"/>
    <n v="132.56"/>
    <n v="122.3"/>
    <n v="123.78"/>
    <n v="131.66000000000003"/>
    <n v="1765.96"/>
  </r>
  <r>
    <x v="0"/>
    <x v="7"/>
    <x v="9"/>
    <x v="80"/>
    <n v="8"/>
    <x v="222"/>
    <n v="138.86000000000001"/>
    <n v="131.34"/>
    <n v="133.94"/>
    <n v="116.14"/>
    <n v="137.16"/>
    <n v="156.38"/>
    <n v="174.82"/>
    <n v="113.56"/>
    <n v="139.64000000000001"/>
    <n v="125.28"/>
    <n v="139.71999999999997"/>
    <n v="137.28000000000003"/>
    <n v="141.30000000000001"/>
    <n v="133.48000000000002"/>
    <n v="127.54"/>
    <n v="132.62"/>
    <n v="127.5"/>
    <n v="122.38"/>
    <n v="127.46"/>
    <n v="124.44000000000001"/>
    <n v="113.66"/>
    <n v="123.05999999999999"/>
    <n v="131.78"/>
    <n v="121.67999999999999"/>
    <n v="122.32000000000001"/>
    <n v="130.88"/>
    <n v="1773.3"/>
  </r>
  <r>
    <x v="1"/>
    <x v="7"/>
    <x v="9"/>
    <x v="80"/>
    <n v="8"/>
    <x v="223"/>
    <n v="138.69999999999999"/>
    <n v="131.38"/>
    <n v="133.76"/>
    <n v="115.6"/>
    <n v="136.34"/>
    <n v="155.13999999999999"/>
    <n v="174.68"/>
    <n v="113.9"/>
    <n v="140.41999999999999"/>
    <n v="124.86000000000001"/>
    <n v="139.62000000000003"/>
    <n v="137"/>
    <n v="141.71999999999997"/>
    <n v="132.83999999999997"/>
    <n v="126.66000000000001"/>
    <n v="131.95999999999998"/>
    <n v="127.6"/>
    <n v="121.38"/>
    <n v="126.92"/>
    <n v="124.12"/>
    <n v="113.32000000000001"/>
    <n v="122.54"/>
    <n v="131.76"/>
    <n v="121.7"/>
    <n v="122.03999999999999"/>
    <n v="130.35999999999999"/>
    <n v="1770.5400000000002"/>
  </r>
  <r>
    <x v="2"/>
    <x v="7"/>
    <x v="9"/>
    <x v="80"/>
    <n v="8"/>
    <x v="224"/>
    <n v="138.16"/>
    <n v="130.66"/>
    <n v="134.52000000000001"/>
    <n v="117.4"/>
    <n v="136.86000000000001"/>
    <n v="152.28"/>
    <n v="172.26"/>
    <n v="113.66"/>
    <n v="138.76"/>
    <n v="126.21999999999998"/>
    <n v="140.47999999999999"/>
    <n v="136.95999999999998"/>
    <n v="141.18"/>
    <n v="135.1"/>
    <n v="129.24"/>
    <n v="134.26"/>
    <n v="127.7"/>
    <n v="124.4"/>
    <n v="128.5"/>
    <n v="125.61999999999998"/>
    <n v="114.8"/>
    <n v="123.72"/>
    <n v="132.06"/>
    <n v="122.12"/>
    <n v="123.2"/>
    <n v="131.44"/>
    <n v="1768.1000000000001"/>
  </r>
  <r>
    <x v="0"/>
    <x v="7"/>
    <x v="10"/>
    <x v="81"/>
    <n v="7"/>
    <x v="225"/>
    <n v="140.80000000000001"/>
    <n v="132.5"/>
    <n v="133.46"/>
    <n v="115.72"/>
    <n v="137.86000000000001"/>
    <n v="164.7"/>
    <n v="178.42"/>
    <n v="112.32"/>
    <n v="139.04000000000002"/>
    <n v="124.8"/>
    <n v="139"/>
    <n v="138.28"/>
    <n v="140.54000000000002"/>
    <n v="132.94"/>
    <n v="127.05999999999999"/>
    <n v="132.09999999999997"/>
    <n v="126.7"/>
    <n v="122.18000000000002"/>
    <n v="126.97999999999999"/>
    <n v="124.06000000000002"/>
    <n v="113.67999999999999"/>
    <n v="122.8"/>
    <n v="131.16000000000003"/>
    <n v="120.85999999999999"/>
    <n v="121.94000000000001"/>
    <n v="131"/>
    <n v="1785.36"/>
  </r>
  <r>
    <x v="1"/>
    <x v="7"/>
    <x v="10"/>
    <x v="81"/>
    <n v="7"/>
    <x v="225"/>
    <n v="140.76"/>
    <n v="132.9"/>
    <n v="133.38"/>
    <n v="115.2"/>
    <n v="137.78"/>
    <n v="164.88"/>
    <n v="179.18"/>
    <n v="112.84"/>
    <n v="139.80000000000001"/>
    <n v="124.43999999999998"/>
    <n v="138.92000000000002"/>
    <n v="138.34"/>
    <n v="140.98000000000002"/>
    <n v="132.32"/>
    <n v="126.25999999999999"/>
    <n v="131.44"/>
    <n v="126.85000000000001"/>
    <n v="121.25999999999999"/>
    <n v="126.46"/>
    <n v="123.67999999999999"/>
    <n v="113.02000000000001"/>
    <n v="122.3"/>
    <n v="131.34"/>
    <n v="120.97999999999999"/>
    <n v="121.6"/>
    <n v="130.62"/>
    <n v="1786.8799999999999"/>
  </r>
  <r>
    <x v="2"/>
    <x v="7"/>
    <x v="10"/>
    <x v="81"/>
    <n v="7"/>
    <x v="226"/>
    <n v="139.56"/>
    <n v="131.68"/>
    <n v="134.12"/>
    <n v="117.04"/>
    <n v="138.22"/>
    <n v="158.88"/>
    <n v="175.58"/>
    <n v="112.8"/>
    <n v="138.18"/>
    <n v="125.85999999999999"/>
    <n v="139.72"/>
    <n v="137.82"/>
    <n v="140.38"/>
    <n v="134.44"/>
    <n v="128.74"/>
    <n v="133.61999999999998"/>
    <n v="127"/>
    <n v="124.1"/>
    <n v="127.97999999999999"/>
    <n v="125.05999999999999"/>
    <n v="114.08"/>
    <n v="123.38"/>
    <n v="131.62000000000003"/>
    <n v="121.53999999999999"/>
    <n v="122.6"/>
    <n v="131.5"/>
    <n v="1778.7199999999998"/>
  </r>
  <r>
    <x v="0"/>
    <x v="7"/>
    <x v="11"/>
    <x v="82"/>
    <n v="6"/>
    <x v="227"/>
    <n v="141.34"/>
    <n v="130.4"/>
    <n v="132.69999999999999"/>
    <n v="114.96"/>
    <n v="136.97999999999999"/>
    <n v="164.72"/>
    <n v="177.62"/>
    <n v="110.86"/>
    <n v="138.07999999999998"/>
    <n v="124.28"/>
    <n v="138.32"/>
    <n v="137.68"/>
    <n v="139.89999999999998"/>
    <n v="132.38"/>
    <n v="126.63999999999999"/>
    <n v="131.52000000000001"/>
    <n v="125.8"/>
    <n v="122.1"/>
    <n v="126.47999999999999"/>
    <n v="123.7"/>
    <n v="114.18000000000002"/>
    <n v="122.23999999999998"/>
    <n v="130.16"/>
    <n v="119.8"/>
    <n v="121.62"/>
    <n v="130.42000000000002"/>
    <n v="1775.6"/>
  </r>
  <r>
    <x v="1"/>
    <x v="7"/>
    <x v="11"/>
    <x v="82"/>
    <n v="6"/>
    <x v="228"/>
    <n v="141.86000000000001"/>
    <n v="131.54"/>
    <n v="132.68"/>
    <n v="114.52"/>
    <n v="137.06"/>
    <n v="167.3"/>
    <n v="179.26"/>
    <n v="111.36"/>
    <n v="138.96"/>
    <n v="124"/>
    <n v="138.24"/>
    <n v="138.16000000000003"/>
    <n v="140.32"/>
    <n v="131.82"/>
    <n v="125.84"/>
    <n v="130.94"/>
    <n v="125.94999999999999"/>
    <n v="121.17999999999999"/>
    <n v="126"/>
    <n v="123.35999999999999"/>
    <n v="113.7"/>
    <n v="121.9"/>
    <n v="130.28000000000003"/>
    <n v="119.92"/>
    <n v="121.33999999999999"/>
    <n v="130.26000000000002"/>
    <n v="1782.58"/>
  </r>
  <r>
    <x v="2"/>
    <x v="7"/>
    <x v="11"/>
    <x v="82"/>
    <n v="6"/>
    <x v="229"/>
    <n v="140.84"/>
    <n v="131.41999999999999"/>
    <n v="133.54"/>
    <n v="116.46"/>
    <n v="138"/>
    <n v="163.94"/>
    <n v="176.82"/>
    <n v="111.38"/>
    <n v="137.38"/>
    <n v="125.3"/>
    <n v="139"/>
    <n v="138.12"/>
    <n v="139.56"/>
    <n v="133.85999999999999"/>
    <n v="128.22"/>
    <n v="133.04"/>
    <n v="126.10000000000001"/>
    <n v="123.9"/>
    <n v="127.47999999999999"/>
    <n v="124.64000000000001"/>
    <n v="114.44000000000001"/>
    <n v="123.02000000000001"/>
    <n v="130.80000000000001"/>
    <n v="120.55999999999999"/>
    <n v="122.26000000000002"/>
    <n v="131.34"/>
    <n v="1780.6800000000003"/>
  </r>
  <r>
    <x v="0"/>
    <x v="7"/>
    <x v="0"/>
    <x v="83"/>
    <n v="5"/>
    <x v="230"/>
    <n v="140.24"/>
    <n v="126.86"/>
    <n v="131.82"/>
    <n v="114.32"/>
    <n v="136.1"/>
    <n v="152.9"/>
    <n v="174.82"/>
    <n v="109.62"/>
    <n v="136.98000000000002"/>
    <n v="123.96000000000001"/>
    <n v="137.62"/>
    <n v="135.28000000000003"/>
    <n v="139.16"/>
    <n v="131.74"/>
    <n v="126.26000000000002"/>
    <n v="130.92000000000002"/>
    <n v="125.83333333333333"/>
    <n v="121.72"/>
    <n v="126.04"/>
    <n v="123.32000000000001"/>
    <n v="113.44000000000001"/>
    <n v="121.78"/>
    <n v="129.01999999999998"/>
    <n v="119.21999999999998"/>
    <n v="120.96"/>
    <n v="129.1"/>
    <n v="1747.3"/>
  </r>
  <r>
    <x v="1"/>
    <x v="7"/>
    <x v="0"/>
    <x v="83"/>
    <n v="5"/>
    <x v="231"/>
    <n v="140.84"/>
    <n v="127.64"/>
    <n v="131.86000000000001"/>
    <n v="113.78"/>
    <n v="135.78"/>
    <n v="156.47999999999999"/>
    <n v="176.48"/>
    <n v="110.1"/>
    <n v="137.80000000000001"/>
    <n v="123.62"/>
    <n v="137.58000000000001"/>
    <n v="135.91999999999999"/>
    <n v="139.69999999999999"/>
    <n v="131.23999999999998"/>
    <n v="125.48000000000002"/>
    <n v="130.36000000000001"/>
    <n v="125.75"/>
    <n v="120.9"/>
    <n v="125.62"/>
    <n v="122.97999999999999"/>
    <n v="113.26000000000002"/>
    <n v="121.4"/>
    <n v="129.14000000000001"/>
    <n v="119.16000000000001"/>
    <n v="120.75999999999999"/>
    <n v="129.06"/>
    <n v="1754.6799999999998"/>
  </r>
  <r>
    <x v="2"/>
    <x v="7"/>
    <x v="0"/>
    <x v="83"/>
    <n v="5"/>
    <x v="227"/>
    <n v="140.32"/>
    <n v="128.16"/>
    <n v="132.68"/>
    <n v="115.76"/>
    <n v="136.78"/>
    <n v="157.84"/>
    <n v="174.28"/>
    <n v="109.94"/>
    <n v="136.35999999999999"/>
    <n v="124.78"/>
    <n v="138.30000000000001"/>
    <n v="136.52000000000001"/>
    <n v="138.85999999999999"/>
    <n v="133.24"/>
    <n v="127.78"/>
    <n v="132.42000000000002"/>
    <n v="125.66666666666667"/>
    <n v="123.54"/>
    <n v="126.97999999999999"/>
    <n v="124.26000000000002"/>
    <n v="114.4"/>
    <n v="122.47999999999999"/>
    <n v="129.69999999999999"/>
    <n v="119.64000000000001"/>
    <n v="121.78"/>
    <n v="130.34"/>
    <n v="1759.3799999999999"/>
  </r>
  <r>
    <x v="0"/>
    <x v="7"/>
    <x v="1"/>
    <x v="84"/>
    <n v="4"/>
    <x v="232"/>
    <n v="138.22"/>
    <n v="123.34"/>
    <n v="131.04"/>
    <n v="113.94"/>
    <n v="135.12"/>
    <n v="139.82"/>
    <n v="171.18"/>
    <n v="107.82"/>
    <n v="135.98000000000002"/>
    <n v="123.54"/>
    <n v="136.91999999999999"/>
    <n v="132.72"/>
    <n v="138.45999999999998"/>
    <n v="131.24"/>
    <n v="125.86000000000001"/>
    <n v="130.44"/>
    <n v="125.73333333333333"/>
    <n v="121.25999999999999"/>
    <n v="125.6"/>
    <n v="122.9"/>
    <n v="112.46000000000001"/>
    <n v="121.43999999999998"/>
    <n v="128.06"/>
    <n v="118.46"/>
    <n v="120.22"/>
    <n v="127.7"/>
    <n v="1715.94"/>
  </r>
  <r>
    <x v="1"/>
    <x v="7"/>
    <x v="1"/>
    <x v="84"/>
    <n v="4"/>
    <x v="233"/>
    <n v="138.96"/>
    <n v="123.74"/>
    <n v="131.12"/>
    <n v="113.3"/>
    <n v="134.69999999999999"/>
    <n v="142.02000000000001"/>
    <n v="172.98"/>
    <n v="108.56"/>
    <n v="136.76"/>
    <n v="123.3"/>
    <n v="136.92000000000002"/>
    <n v="133.16000000000003"/>
    <n v="138.9"/>
    <n v="130.68"/>
    <n v="125.1"/>
    <n v="129.84"/>
    <n v="125.8"/>
    <n v="120.4"/>
    <n v="125.2"/>
    <n v="122.6"/>
    <n v="112.13999999999999"/>
    <n v="121.1"/>
    <n v="128.18"/>
    <n v="118.62"/>
    <n v="120.02000000000001"/>
    <n v="127.62"/>
    <n v="1721.7"/>
  </r>
  <r>
    <x v="2"/>
    <x v="7"/>
    <x v="1"/>
    <x v="84"/>
    <n v="4"/>
    <x v="234"/>
    <n v="138.82"/>
    <n v="125.08"/>
    <n v="131.80000000000001"/>
    <n v="115.24"/>
    <n v="135.96"/>
    <n v="145.16"/>
    <n v="171.44"/>
    <n v="108.5"/>
    <n v="135.30000000000001"/>
    <n v="124.35999999999999"/>
    <n v="137.58000000000001"/>
    <n v="134"/>
    <n v="138.04000000000002"/>
    <n v="132.58000000000001"/>
    <n v="127.32000000000001"/>
    <n v="131.80000000000001"/>
    <n v="125.86666666666667"/>
    <n v="123.08"/>
    <n v="126.5"/>
    <n v="123.84"/>
    <n v="113.4"/>
    <n v="122.02000000000001"/>
    <n v="128.69999999999999"/>
    <n v="119.08"/>
    <n v="121.03999999999999"/>
    <n v="128.94"/>
    <n v="1730.1599999999999"/>
  </r>
  <r>
    <x v="0"/>
    <x v="7"/>
    <x v="2"/>
    <x v="85"/>
    <n v="3"/>
    <x v="233"/>
    <n v="136.1"/>
    <n v="123.34"/>
    <n v="130.38"/>
    <n v="113.56"/>
    <n v="129.4"/>
    <n v="131.9"/>
    <n v="167.08"/>
    <n v="103.44"/>
    <n v="135.32"/>
    <n v="123.04"/>
    <n v="136.4"/>
    <n v="130.54000000000002"/>
    <n v="137.82"/>
    <n v="130.78"/>
    <n v="125.54"/>
    <n v="130"/>
    <n v="125.13333333333333"/>
    <n v="121.16000000000001"/>
    <n v="125.17999999999999"/>
    <n v="122.51999999999998"/>
    <n v="111.47999999999999"/>
    <n v="120.97999999999999"/>
    <n v="127.26000000000002"/>
    <n v="117.56000000000002"/>
    <n v="119.52000000000001"/>
    <n v="126.42"/>
    <n v="1686.6799999999998"/>
  </r>
  <r>
    <x v="1"/>
    <x v="7"/>
    <x v="2"/>
    <x v="85"/>
    <n v="3"/>
    <x v="235"/>
    <n v="136.58000000000001"/>
    <n v="122.72"/>
    <n v="130.46"/>
    <n v="112.86"/>
    <n v="130.02000000000001"/>
    <n v="132.76"/>
    <n v="168.34"/>
    <n v="104.64"/>
    <n v="136.04"/>
    <n v="122.78000000000002"/>
    <n v="136.34"/>
    <n v="130.82000000000002"/>
    <n v="138.24"/>
    <n v="130.26"/>
    <n v="124.78"/>
    <n v="129.44"/>
    <n v="125.25"/>
    <n v="120.21999999999998"/>
    <n v="124.74000000000001"/>
    <n v="122.2"/>
    <n v="111.17999999999999"/>
    <n v="120.7"/>
    <n v="127.30000000000003"/>
    <n v="117.7"/>
    <n v="119.3"/>
    <n v="126.28"/>
    <n v="1690.3999999999999"/>
  </r>
  <r>
    <x v="2"/>
    <x v="7"/>
    <x v="2"/>
    <x v="85"/>
    <n v="3"/>
    <x v="236"/>
    <n v="136.82"/>
    <n v="122.86"/>
    <n v="131"/>
    <n v="114.92"/>
    <n v="133.66"/>
    <n v="135.5"/>
    <n v="167.48"/>
    <n v="105.78"/>
    <n v="134.45999999999998"/>
    <n v="123.86000000000001"/>
    <n v="136.91999999999999"/>
    <n v="131.76000000000002"/>
    <n v="137.32"/>
    <n v="132.06"/>
    <n v="126.94000000000001"/>
    <n v="131.30000000000001"/>
    <n v="125.36666666666667"/>
    <n v="122.74000000000001"/>
    <n v="125.97999999999999"/>
    <n v="123.42"/>
    <n v="112.5"/>
    <n v="121.6"/>
    <n v="127.83999999999999"/>
    <n v="118.22"/>
    <n v="120.34"/>
    <n v="127.58000000000001"/>
    <n v="1701.6200000000001"/>
  </r>
  <r>
    <x v="0"/>
    <x v="7"/>
    <x v="3"/>
    <x v="86"/>
    <n v="2"/>
    <x v="237"/>
    <n v="134.74"/>
    <n v="127.1"/>
    <n v="130.16"/>
    <n v="113.58"/>
    <n v="125.1"/>
    <n v="129.84"/>
    <n v="167.62"/>
    <n v="99.76"/>
    <n v="134.96"/>
    <n v="122.8"/>
    <n v="135.96"/>
    <n v="129.71999999999997"/>
    <n v="137.18"/>
    <n v="130.35999999999999"/>
    <n v="125.23999999999998"/>
    <n v="129.64000000000001"/>
    <n v="124.56666666666668"/>
    <n v="121.67999999999999"/>
    <n v="124.7"/>
    <n v="122.16000000000001"/>
    <n v="111.3"/>
    <n v="120.6"/>
    <n v="126.78"/>
    <n v="116.82000000000001"/>
    <n v="119.12"/>
    <n v="125.9"/>
    <n v="1677.42"/>
  </r>
  <r>
    <x v="1"/>
    <x v="7"/>
    <x v="3"/>
    <x v="86"/>
    <n v="2"/>
    <x v="238"/>
    <n v="135.02000000000001"/>
    <n v="126.48"/>
    <n v="130.06"/>
    <n v="112.78"/>
    <n v="124.26"/>
    <n v="129.62"/>
    <n v="167.92"/>
    <n v="100.2"/>
    <n v="135.61999999999998"/>
    <n v="122.46"/>
    <n v="135.94"/>
    <n v="129.61999999999998"/>
    <n v="137.6"/>
    <n v="129.84"/>
    <n v="124.5"/>
    <n v="129.06"/>
    <n v="124.65"/>
    <n v="120.66000000000001"/>
    <n v="124.3"/>
    <n v="121.88"/>
    <n v="110.7"/>
    <n v="120.26000000000002"/>
    <n v="126.73999999999998"/>
    <n v="116.92"/>
    <n v="118.8"/>
    <n v="125.52000000000001"/>
    <n v="1675.9399999999998"/>
  </r>
  <r>
    <x v="2"/>
    <x v="7"/>
    <x v="3"/>
    <x v="86"/>
    <n v="2"/>
    <x v="239"/>
    <n v="135.08000000000001"/>
    <n v="125.1"/>
    <n v="130.4"/>
    <n v="114.74"/>
    <n v="128.16"/>
    <n v="130.6"/>
    <n v="165.18"/>
    <n v="101.38"/>
    <n v="133.95999999999998"/>
    <n v="123.42"/>
    <n v="136.38"/>
    <n v="130.16"/>
    <n v="136.69999999999999"/>
    <n v="131.6"/>
    <n v="126.6"/>
    <n v="130.88"/>
    <n v="124.73333333333335"/>
    <n v="122.85999999999999"/>
    <n v="125.54"/>
    <n v="123.02000000000001"/>
    <n v="111.75999999999999"/>
    <n v="121.14000000000001"/>
    <n v="127.05999999999999"/>
    <n v="117.36000000000001"/>
    <n v="119.7"/>
    <n v="126.55999999999999"/>
    <n v="1681.0400000000002"/>
  </r>
  <r>
    <x v="0"/>
    <x v="7"/>
    <x v="4"/>
    <x v="87"/>
    <n v="1"/>
    <x v="240"/>
    <n v="134.4"/>
    <n v="129.02000000000001"/>
    <n v="129.94"/>
    <n v="114.2"/>
    <n v="125.06"/>
    <n v="137.16"/>
    <n v="171.58"/>
    <n v="97.92"/>
    <n v="134.45999999999998"/>
    <n v="122.58"/>
    <n v="135.5"/>
    <n v="130.66000000000003"/>
    <n v="136.54000000000002"/>
    <n v="129.88000000000002"/>
    <n v="124.73999999999998"/>
    <n v="129.13999999999999"/>
    <n v="123.73333333333335"/>
    <n v="121.85999999999999"/>
    <n v="124.25999999999999"/>
    <n v="121.72"/>
    <n v="111.32000000000001"/>
    <n v="120.16"/>
    <n v="126.46"/>
    <n v="115.28"/>
    <n v="118.7"/>
    <n v="126.05999999999999"/>
    <n v="1688.38"/>
  </r>
  <r>
    <x v="1"/>
    <x v="7"/>
    <x v="4"/>
    <x v="87"/>
    <n v="1"/>
    <x v="241"/>
    <n v="134.6"/>
    <n v="129.46"/>
    <n v="129.94"/>
    <n v="113.38"/>
    <n v="123.72"/>
    <n v="135.19999999999999"/>
    <n v="172.3"/>
    <n v="98.14"/>
    <n v="135.26000000000002"/>
    <n v="122.32000000000001"/>
    <n v="135.47999999999996"/>
    <n v="130.35999999999999"/>
    <n v="137"/>
    <n v="129.42000000000002"/>
    <n v="124.11999999999998"/>
    <n v="128.66"/>
    <n v="123.9"/>
    <n v="121.24000000000001"/>
    <n v="123.85999999999999"/>
    <n v="121.47999999999999"/>
    <n v="110.88"/>
    <n v="119.94000000000001"/>
    <n v="126.53999999999999"/>
    <n v="115.62"/>
    <n v="118.5"/>
    <n v="125.64000000000001"/>
    <n v="1685.9799999999998"/>
  </r>
  <r>
    <x v="2"/>
    <x v="7"/>
    <x v="4"/>
    <x v="87"/>
    <n v="1"/>
    <x v="242"/>
    <n v="134.30000000000001"/>
    <n v="128.08000000000001"/>
    <n v="130.19999999999999"/>
    <n v="115.1"/>
    <n v="126.26"/>
    <n v="132.52000000000001"/>
    <n v="167.7"/>
    <n v="98.88"/>
    <n v="133.51999999999998"/>
    <n v="123.2"/>
    <n v="135.94"/>
    <n v="130.19999999999999"/>
    <n v="136.1"/>
    <n v="131.14000000000001"/>
    <n v="126.2"/>
    <n v="130.44"/>
    <n v="124.06666666666668"/>
    <n v="123.25999999999999"/>
    <n v="125.08000000000001"/>
    <n v="122.62"/>
    <n v="111.82000000000001"/>
    <n v="120.74000000000001"/>
    <n v="126.75999999999999"/>
    <n v="116.3"/>
    <n v="119.36000000000001"/>
    <n v="126.4"/>
    <n v="1682.2400000000002"/>
  </r>
  <r>
    <x v="0"/>
    <x v="8"/>
    <x v="5"/>
    <x v="88"/>
    <n v="12"/>
    <x v="243"/>
    <n v="132.69999999999999"/>
    <n v="126.74"/>
    <n v="129.46"/>
    <n v="114.44"/>
    <n v="125.92"/>
    <n v="145.08000000000001"/>
    <n v="174.34"/>
    <n v="95.4"/>
    <n v="133.74"/>
    <n v="122.05999999999999"/>
    <n v="134.91999999999999"/>
    <n v="131.37999999999997"/>
    <n v="135.78"/>
    <n v="129.32"/>
    <n v="124.3"/>
    <n v="128.57999999999998"/>
    <n v="122.73333333333335"/>
    <n v="121.35999999999999"/>
    <n v="123.76000000000002"/>
    <n v="121.17999999999999"/>
    <n v="111.46"/>
    <n v="119.83999999999999"/>
    <n v="126.2"/>
    <n v="113.97999999999999"/>
    <n v="118.33999999999999"/>
    <n v="126.06000000000002"/>
    <n v="1691.74"/>
  </r>
  <r>
    <x v="1"/>
    <x v="8"/>
    <x v="5"/>
    <x v="88"/>
    <n v="12"/>
    <x v="244"/>
    <n v="133.26"/>
    <n v="127.8"/>
    <n v="129.47999999999999"/>
    <n v="113.88"/>
    <n v="124.74"/>
    <n v="144.28"/>
    <n v="176.06"/>
    <n v="95.8"/>
    <n v="134.54"/>
    <n v="121.94000000000001"/>
    <n v="134.95999999999998"/>
    <n v="131.35999999999999"/>
    <n v="136.19999999999999"/>
    <n v="128.87999999999997"/>
    <n v="123.62"/>
    <n v="128.1"/>
    <n v="122.9"/>
    <n v="120.76000000000002"/>
    <n v="123.4"/>
    <n v="120.96"/>
    <n v="110.88"/>
    <n v="119.47999999999999"/>
    <n v="126.33999999999999"/>
    <n v="114.05999999999999"/>
    <n v="118.08000000000001"/>
    <n v="125.73999999999998"/>
    <n v="1693.62"/>
  </r>
  <r>
    <x v="2"/>
    <x v="8"/>
    <x v="5"/>
    <x v="88"/>
    <n v="12"/>
    <x v="237"/>
    <n v="133.66"/>
    <n v="127.92"/>
    <n v="129.9"/>
    <n v="115.58"/>
    <n v="126.66"/>
    <n v="140.66"/>
    <n v="170.6"/>
    <n v="97"/>
    <n v="132.94"/>
    <n v="122.85999999999999"/>
    <n v="135.4"/>
    <n v="131.11999999999998"/>
    <n v="135.44"/>
    <n v="130.57999999999998"/>
    <n v="125.68000000000002"/>
    <n v="129.88"/>
    <n v="123.06666666666668"/>
    <n v="123.05999999999999"/>
    <n v="124.61999999999998"/>
    <n v="122.1"/>
    <n v="111.8"/>
    <n v="120.32000000000001"/>
    <n v="126.44000000000001"/>
    <n v="114.78"/>
    <n v="118.92"/>
    <n v="126.52000000000001"/>
    <n v="1690.3799999999999"/>
  </r>
  <r>
    <x v="0"/>
    <x v="8"/>
    <x v="6"/>
    <x v="89"/>
    <n v="11"/>
    <x v="245"/>
    <n v="130.74"/>
    <n v="123.04"/>
    <n v="129.13999999999999"/>
    <n v="114.2"/>
    <n v="127.28"/>
    <n v="154.54"/>
    <n v="175.16"/>
    <n v="93.34"/>
    <n v="132.82"/>
    <n v="121.62"/>
    <n v="134.24"/>
    <n v="132.26000000000002"/>
    <n v="134.94"/>
    <n v="128.86000000000001"/>
    <n v="124"/>
    <n v="128.13999999999999"/>
    <n v="122.73333333333335"/>
    <n v="120.8"/>
    <n v="123.4"/>
    <n v="120.66000000000001"/>
    <n v="111.62"/>
    <n v="119.54"/>
    <n v="126.17999999999999"/>
    <n v="113.72"/>
    <n v="118.16"/>
    <n v="126.28"/>
    <n v="1693.6"/>
  </r>
  <r>
    <x v="1"/>
    <x v="8"/>
    <x v="6"/>
    <x v="89"/>
    <n v="11"/>
    <x v="246"/>
    <n v="130.9"/>
    <n v="123.66"/>
    <n v="129.12"/>
    <n v="113.7"/>
    <n v="126.18"/>
    <n v="152.84"/>
    <n v="177.3"/>
    <n v="93.34"/>
    <n v="133.57999999999998"/>
    <n v="121.4"/>
    <n v="134.34"/>
    <n v="132.06"/>
    <n v="135.4"/>
    <n v="128.38000000000002"/>
    <n v="123.32000000000001"/>
    <n v="127.64000000000001"/>
    <n v="122.65"/>
    <n v="120.08"/>
    <n v="123"/>
    <n v="120.42"/>
    <n v="111.12"/>
    <n v="119.28000000000002"/>
    <n v="126.26000000000002"/>
    <n v="113.62"/>
    <n v="117.9"/>
    <n v="125.84"/>
    <n v="1693.56"/>
  </r>
  <r>
    <x v="2"/>
    <x v="8"/>
    <x v="6"/>
    <x v="89"/>
    <n v="11"/>
    <x v="247"/>
    <n v="131.58000000000001"/>
    <n v="124.66"/>
    <n v="129.46"/>
    <n v="115.48"/>
    <n v="127.76"/>
    <n v="147.94"/>
    <n v="171.74"/>
    <n v="94.72"/>
    <n v="132.08000000000001"/>
    <n v="122.3"/>
    <n v="134.78"/>
    <n v="131.68"/>
    <n v="134.6"/>
    <n v="130.02000000000004"/>
    <n v="125.24000000000001"/>
    <n v="129.32"/>
    <n v="122.56666666666668"/>
    <n v="122.3"/>
    <n v="124.12"/>
    <n v="121.54"/>
    <n v="111.97999999999999"/>
    <n v="119.97999999999999"/>
    <n v="126.17999999999999"/>
    <n v="113.93999999999998"/>
    <n v="118.6"/>
    <n v="126.54"/>
    <n v="1689.88"/>
  </r>
  <r>
    <x v="0"/>
    <x v="8"/>
    <x v="7"/>
    <x v="90"/>
    <n v="10"/>
    <x v="248"/>
    <n v="129.84"/>
    <n v="119.76"/>
    <n v="129.02000000000001"/>
    <n v="113.18"/>
    <n v="128.41999999999999"/>
    <n v="160.74"/>
    <n v="171.82"/>
    <n v="92.14"/>
    <n v="131.5"/>
    <n v="121.13999999999999"/>
    <n v="133.38000000000002"/>
    <n v="132.44"/>
    <n v="133.82"/>
    <n v="128.22"/>
    <n v="123.47999999999999"/>
    <n v="127.54"/>
    <n v="122.56666666666668"/>
    <n v="120.16000000000001"/>
    <n v="123.08"/>
    <n v="120.16000000000001"/>
    <n v="111.55999999999999"/>
    <n v="119.05999999999999"/>
    <n v="125.97999999999999"/>
    <n v="113.82000000000001"/>
    <n v="117.96000000000001"/>
    <n v="126.17999999999999"/>
    <n v="1688.2400000000002"/>
  </r>
  <r>
    <x v="1"/>
    <x v="8"/>
    <x v="7"/>
    <x v="90"/>
    <n v="10"/>
    <x v="249"/>
    <n v="129.82"/>
    <n v="119.92"/>
    <n v="128.97999999999999"/>
    <n v="113"/>
    <n v="127.42"/>
    <n v="160.88"/>
    <n v="175.22"/>
    <n v="92.06"/>
    <n v="132.41999999999999"/>
    <n v="121.02000000000001"/>
    <n v="133.56"/>
    <n v="132.62000000000003"/>
    <n v="134.24"/>
    <n v="127.85999999999999"/>
    <n v="122.91999999999999"/>
    <n v="127.13999999999999"/>
    <n v="122.65"/>
    <n v="119.6"/>
    <n v="122.73999999999998"/>
    <n v="119.94000000000001"/>
    <n v="111.1"/>
    <n v="118.88000000000002"/>
    <n v="126.21999999999998"/>
    <n v="113.74000000000001"/>
    <n v="117.74000000000001"/>
    <n v="125.96000000000001"/>
    <n v="1691.74"/>
  </r>
  <r>
    <x v="2"/>
    <x v="8"/>
    <x v="7"/>
    <x v="90"/>
    <n v="10"/>
    <x v="250"/>
    <n v="130.36000000000001"/>
    <n v="121.4"/>
    <n v="129.24"/>
    <n v="114.86"/>
    <n v="128.91999999999999"/>
    <n v="156.82"/>
    <n v="170.2"/>
    <n v="93.26"/>
    <n v="131.04"/>
    <n v="121.8"/>
    <n v="134"/>
    <n v="132.38"/>
    <n v="133.80000000000001"/>
    <n v="129.48000000000002"/>
    <n v="124.85999999999999"/>
    <n v="128.80000000000001"/>
    <n v="122.73333333333335"/>
    <n v="121.76000000000002"/>
    <n v="123.8"/>
    <n v="121.02000000000001"/>
    <n v="112.04"/>
    <n v="119.66"/>
    <n v="126.03999999999999"/>
    <n v="113.86000000000001"/>
    <n v="118.4"/>
    <n v="126.7"/>
    <n v="1689.6399999999999"/>
  </r>
  <r>
    <x v="0"/>
    <x v="8"/>
    <x v="8"/>
    <x v="91"/>
    <n v="9"/>
    <x v="251"/>
    <n v="129.9"/>
    <n v="118.34"/>
    <n v="128.86000000000001"/>
    <n v="111.68"/>
    <n v="128.4"/>
    <n v="162.62"/>
    <n v="159.78"/>
    <n v="90.46"/>
    <n v="130.12000000000003"/>
    <n v="120.67999999999999"/>
    <n v="132.69999999999999"/>
    <n v="131.62"/>
    <n v="132.9"/>
    <n v="127.55999999999999"/>
    <n v="122.97999999999999"/>
    <n v="126.9"/>
    <n v="121.86666666666667"/>
    <n v="119.7"/>
    <n v="122.66000000000001"/>
    <n v="119.6"/>
    <n v="111.46"/>
    <n v="118.6"/>
    <n v="125.66"/>
    <n v="113.54"/>
    <n v="117.64000000000001"/>
    <n v="125.55999999999999"/>
    <n v="1669.6200000000003"/>
  </r>
  <r>
    <x v="1"/>
    <x v="8"/>
    <x v="8"/>
    <x v="91"/>
    <n v="9"/>
    <x v="252"/>
    <n v="129.63999999999999"/>
    <n v="117.98"/>
    <n v="128.84"/>
    <n v="111.4"/>
    <n v="127.74"/>
    <n v="162.91999999999999"/>
    <n v="164.42"/>
    <n v="90.42"/>
    <n v="130.98000000000002"/>
    <n v="120.52000000000001"/>
    <n v="132.76"/>
    <n v="131.84"/>
    <n v="133.19999999999999"/>
    <n v="127.17999999999999"/>
    <n v="122.38"/>
    <n v="126.47999999999999"/>
    <n v="122"/>
    <n v="119.11999999999998"/>
    <n v="122.35999999999999"/>
    <n v="119.4"/>
    <n v="110.97999999999999"/>
    <n v="118.42"/>
    <n v="125.93999999999998"/>
    <n v="113.58"/>
    <n v="117.46"/>
    <n v="125.38"/>
    <n v="1673.8999999999999"/>
  </r>
  <r>
    <x v="2"/>
    <x v="8"/>
    <x v="8"/>
    <x v="91"/>
    <n v="9"/>
    <x v="253"/>
    <n v="129.96"/>
    <n v="119.2"/>
    <n v="129.08000000000001"/>
    <n v="113.56"/>
    <n v="129.36000000000001"/>
    <n v="160.26"/>
    <n v="163.5"/>
    <n v="92.06"/>
    <n v="129.76"/>
    <n v="121.32000000000001"/>
    <n v="133.14000000000001"/>
    <n v="132.02000000000001"/>
    <n v="132.69999999999999"/>
    <n v="128.80000000000001"/>
    <n v="124.3"/>
    <n v="128.14000000000001"/>
    <n v="122.13333333333333"/>
    <n v="121.22"/>
    <n v="123.4"/>
    <n v="120.5"/>
    <n v="111.96"/>
    <n v="119.13999999999999"/>
    <n v="125.8"/>
    <n v="113.84"/>
    <n v="118.14000000000001"/>
    <n v="126.34"/>
    <n v="1678.2"/>
  </r>
  <r>
    <x v="0"/>
    <x v="8"/>
    <x v="9"/>
    <x v="92"/>
    <n v="8"/>
    <x v="254"/>
    <n v="130.9"/>
    <n v="119.16"/>
    <n v="128.56"/>
    <n v="110.78"/>
    <n v="130.58000000000001"/>
    <n v="160.82"/>
    <n v="149.08000000000001"/>
    <n v="89.54"/>
    <n v="128.64000000000001"/>
    <n v="120.34"/>
    <n v="132.26"/>
    <n v="130.74"/>
    <n v="132.24"/>
    <n v="126.96"/>
    <n v="122.55999999999999"/>
    <n v="126.32000000000001"/>
    <n v="121.13333333333333"/>
    <n v="119.7"/>
    <n v="122.12"/>
    <n v="119.12"/>
    <n v="111.62"/>
    <n v="118.08"/>
    <n v="125.17999999999999"/>
    <n v="112.67999999999999"/>
    <n v="117.32000000000001"/>
    <n v="124.92"/>
    <n v="1655.5"/>
  </r>
  <r>
    <x v="1"/>
    <x v="8"/>
    <x v="9"/>
    <x v="92"/>
    <n v="8"/>
    <x v="255"/>
    <n v="130.72"/>
    <n v="118.64"/>
    <n v="128.58000000000001"/>
    <n v="110.36"/>
    <n v="129.41999999999999"/>
    <n v="162.54"/>
    <n v="151.5"/>
    <n v="89"/>
    <n v="129.54"/>
    <n v="120.18000000000002"/>
    <n v="132.26"/>
    <n v="131.01999999999998"/>
    <n v="132.61999999999998"/>
    <n v="126.64000000000001"/>
    <n v="121.97999999999999"/>
    <n v="125.96"/>
    <n v="121.25"/>
    <n v="119.01999999999998"/>
    <n v="121.9"/>
    <n v="118.85999999999999"/>
    <n v="111.16"/>
    <n v="118.04"/>
    <n v="125.6"/>
    <n v="112.85999999999999"/>
    <n v="117.17999999999999"/>
    <n v="124.78"/>
    <n v="1657.84"/>
  </r>
  <r>
    <x v="2"/>
    <x v="8"/>
    <x v="9"/>
    <x v="92"/>
    <n v="8"/>
    <x v="256"/>
    <n v="130.46"/>
    <n v="119.18"/>
    <n v="128.86000000000001"/>
    <n v="112.16"/>
    <n v="130.04"/>
    <n v="160.97999999999999"/>
    <n v="151.13999999999999"/>
    <n v="90.68"/>
    <n v="128.32"/>
    <n v="120.88"/>
    <n v="132.54"/>
    <n v="131.16"/>
    <n v="132.07999999999998"/>
    <n v="128.12"/>
    <n v="123.79999999999998"/>
    <n v="127.5"/>
    <n v="121.36666666666667"/>
    <n v="120.83999999999999"/>
    <n v="122.92"/>
    <n v="119.94000000000001"/>
    <n v="111.94000000000001"/>
    <n v="118.62"/>
    <n v="125.38"/>
    <n v="113.3"/>
    <n v="117.78"/>
    <n v="125.68000000000002"/>
    <n v="1660.9800000000002"/>
  </r>
  <r>
    <x v="0"/>
    <x v="8"/>
    <x v="10"/>
    <x v="93"/>
    <n v="7"/>
    <x v="257"/>
    <n v="132.26"/>
    <n v="120.38"/>
    <n v="128.30000000000001"/>
    <n v="110.3"/>
    <n v="132.69999999999999"/>
    <n v="151.69999999999999"/>
    <n v="143.26"/>
    <n v="89.9"/>
    <n v="127.51999999999998"/>
    <n v="119.9"/>
    <n v="131.67999999999998"/>
    <n v="129.22"/>
    <n v="131.44"/>
    <n v="126.44000000000001"/>
    <n v="122.04"/>
    <n v="125.8"/>
    <n v="120.23333333333335"/>
    <n v="119.5"/>
    <n v="121.5"/>
    <n v="118.7"/>
    <n v="112.35999999999999"/>
    <n v="117.5"/>
    <n v="124.50000000000003"/>
    <n v="112.24000000000001"/>
    <n v="117.2"/>
    <n v="124.00000000000003"/>
    <n v="1640.8600000000004"/>
  </r>
  <r>
    <x v="1"/>
    <x v="8"/>
    <x v="10"/>
    <x v="93"/>
    <n v="7"/>
    <x v="258"/>
    <n v="132.24"/>
    <n v="120"/>
    <n v="128.26"/>
    <n v="109.88"/>
    <n v="132.5"/>
    <n v="155.06"/>
    <n v="145.30000000000001"/>
    <n v="89.18"/>
    <n v="128.19999999999999"/>
    <n v="119.78"/>
    <n v="131.76000000000002"/>
    <n v="129.78000000000003"/>
    <n v="131.80000000000001"/>
    <n v="126.12"/>
    <n v="121.52000000000001"/>
    <n v="125.46000000000001"/>
    <n v="120.4"/>
    <n v="119.02000000000001"/>
    <n v="121.3"/>
    <n v="118.42"/>
    <n v="111.88"/>
    <n v="117.46"/>
    <n v="124.93999999999998"/>
    <n v="112.16"/>
    <n v="117.02000000000001"/>
    <n v="124.02000000000001"/>
    <n v="1645.72"/>
  </r>
  <r>
    <x v="2"/>
    <x v="8"/>
    <x v="10"/>
    <x v="93"/>
    <n v="7"/>
    <x v="259"/>
    <n v="131.6"/>
    <n v="120.24"/>
    <n v="128.56"/>
    <n v="111.56"/>
    <n v="132.4"/>
    <n v="156.13999999999999"/>
    <n v="143.82"/>
    <n v="90.54"/>
    <n v="126.97999999999999"/>
    <n v="120.5"/>
    <n v="132.07999999999998"/>
    <n v="130.08000000000001"/>
    <n v="131.38"/>
    <n v="127.5"/>
    <n v="123.3"/>
    <n v="126.9"/>
    <n v="120.56666666666668"/>
    <n v="120.7"/>
    <n v="122.3"/>
    <n v="119.5"/>
    <n v="112.34"/>
    <n v="118.05999999999999"/>
    <n v="124.75999999999999"/>
    <n v="112.56000000000002"/>
    <n v="117.52000000000001"/>
    <n v="124.94000000000001"/>
    <n v="1648.6599999999999"/>
  </r>
  <r>
    <x v="0"/>
    <x v="8"/>
    <x v="11"/>
    <x v="94"/>
    <n v="6"/>
    <x v="260"/>
    <n v="132.47999999999999"/>
    <n v="121.22"/>
    <n v="128.12"/>
    <n v="110.2"/>
    <n v="132.88"/>
    <n v="143.06"/>
    <n v="140.13999999999999"/>
    <n v="92"/>
    <n v="126.78"/>
    <n v="119.63999999999999"/>
    <n v="131.07999999999998"/>
    <n v="127.88"/>
    <n v="130.4"/>
    <n v="126.05999999999999"/>
    <n v="121.62"/>
    <n v="125.4"/>
    <n v="119.3"/>
    <n v="119.16"/>
    <n v="121.12"/>
    <n v="118.22"/>
    <n v="112.88"/>
    <n v="117.12"/>
    <n v="123.43999999999998"/>
    <n v="112.54"/>
    <n v="117.05999999999999"/>
    <n v="123.17999999999999"/>
    <n v="1629.2400000000002"/>
  </r>
  <r>
    <x v="1"/>
    <x v="8"/>
    <x v="11"/>
    <x v="94"/>
    <n v="6"/>
    <x v="261"/>
    <n v="132.9"/>
    <n v="121"/>
    <n v="128.04"/>
    <n v="109.56"/>
    <n v="132.86000000000001"/>
    <n v="145.04"/>
    <n v="141.58000000000001"/>
    <n v="91"/>
    <n v="127.4"/>
    <n v="119.4"/>
    <n v="131.11999999999998"/>
    <n v="128.19999999999999"/>
    <n v="130.83999999999997"/>
    <n v="125.72"/>
    <n v="121.05999999999999"/>
    <n v="125.02000000000001"/>
    <n v="119.44999999999999"/>
    <n v="118.66"/>
    <n v="120.82000000000001"/>
    <n v="117.94000000000001"/>
    <n v="112.58000000000001"/>
    <n v="116.98000000000002"/>
    <n v="123.91999999999999"/>
    <n v="112.4"/>
    <n v="116.92"/>
    <n v="123.08"/>
    <n v="1631.7800000000002"/>
  </r>
  <r>
    <x v="2"/>
    <x v="8"/>
    <x v="11"/>
    <x v="94"/>
    <n v="6"/>
    <x v="262"/>
    <n v="132.28"/>
    <n v="121.08"/>
    <n v="128.34"/>
    <n v="111.16"/>
    <n v="133.24"/>
    <n v="146.41999999999999"/>
    <n v="139.54"/>
    <n v="91.66"/>
    <n v="126.08"/>
    <n v="120.1"/>
    <n v="131.52000000000001"/>
    <n v="128.45999999999998"/>
    <n v="130.44"/>
    <n v="126.98000000000002"/>
    <n v="122.8"/>
    <n v="126.35999999999999"/>
    <n v="119.60000000000001"/>
    <n v="120.4"/>
    <n v="121.72"/>
    <n v="119.08"/>
    <n v="112.96"/>
    <n v="117.44000000000001"/>
    <n v="123.88"/>
    <n v="112.4"/>
    <n v="117.35999999999999"/>
    <n v="123.96000000000001"/>
    <n v="1633.78"/>
  </r>
  <r>
    <x v="0"/>
    <x v="8"/>
    <x v="0"/>
    <x v="95"/>
    <n v="5"/>
    <x v="263"/>
    <n v="129.91999999999999"/>
    <n v="117.32"/>
    <n v="127.52"/>
    <n v="109.52"/>
    <n v="132.6"/>
    <n v="135.38"/>
    <n v="135.47999999999999"/>
    <n v="93.96"/>
    <n v="125.28"/>
    <n v="119.24000000000001"/>
    <n v="130.24"/>
    <n v="126.12"/>
    <n v="129.23999999999998"/>
    <n v="125.34"/>
    <n v="121.1"/>
    <n v="124.67999999999999"/>
    <n v="119.39999999999999"/>
    <n v="118.74000000000001"/>
    <n v="120.47999999999999"/>
    <n v="117.55999999999999"/>
    <n v="112.4"/>
    <n v="116.62"/>
    <n v="121.93999999999998"/>
    <n v="112.5"/>
    <n v="116.42"/>
    <n v="122.10000000000002"/>
    <n v="1606.3000000000002"/>
  </r>
  <r>
    <x v="1"/>
    <x v="8"/>
    <x v="0"/>
    <x v="95"/>
    <n v="5"/>
    <x v="264"/>
    <n v="130.86000000000001"/>
    <n v="118.18"/>
    <n v="127.62"/>
    <n v="109.24"/>
    <n v="132.34"/>
    <n v="137.5"/>
    <n v="138.1"/>
    <n v="93.26"/>
    <n v="126.24000000000001"/>
    <n v="119.16"/>
    <n v="130.46"/>
    <n v="126.7"/>
    <n v="129.74"/>
    <n v="125.16000000000001"/>
    <n v="120.67999999999999"/>
    <n v="124.46000000000001"/>
    <n v="119.3"/>
    <n v="118.32000000000001"/>
    <n v="120.4"/>
    <n v="117.38"/>
    <n v="112.32000000000001"/>
    <n v="116.66000000000001"/>
    <n v="122.46"/>
    <n v="112.6"/>
    <n v="116.44000000000001"/>
    <n v="122.21999999999998"/>
    <n v="1613.4600000000003"/>
  </r>
  <r>
    <x v="2"/>
    <x v="8"/>
    <x v="0"/>
    <x v="95"/>
    <n v="5"/>
    <x v="265"/>
    <n v="131.22"/>
    <n v="120.32"/>
    <n v="128.04"/>
    <n v="110.9"/>
    <n v="132.84"/>
    <n v="138.54"/>
    <n v="136.34"/>
    <n v="93.92"/>
    <n v="125.16"/>
    <n v="119.82000000000001"/>
    <n v="130.82"/>
    <n v="126.98000000000002"/>
    <n v="129.36000000000001"/>
    <n v="126.44000000000001"/>
    <n v="122.3"/>
    <n v="125.8"/>
    <n v="119.2"/>
    <n v="119.94000000000001"/>
    <n v="121.25999999999999"/>
    <n v="118.55999999999999"/>
    <n v="112.97999999999999"/>
    <n v="117.05999999999999"/>
    <n v="122.63999999999999"/>
    <n v="112.66000000000001"/>
    <n v="117.02000000000001"/>
    <n v="123.02000000000001"/>
    <n v="1618.74"/>
  </r>
  <r>
    <x v="0"/>
    <x v="8"/>
    <x v="1"/>
    <x v="96"/>
    <n v="4"/>
    <x v="266"/>
    <n v="127.38"/>
    <n v="114.04"/>
    <n v="126.8"/>
    <n v="108.66"/>
    <n v="132.44"/>
    <n v="130.19999999999999"/>
    <n v="128.9"/>
    <n v="94.7"/>
    <n v="123.88"/>
    <n v="118.6"/>
    <n v="129.39999999999998"/>
    <n v="124.54"/>
    <n v="128.14000000000001"/>
    <n v="124.58"/>
    <n v="120.55999999999999"/>
    <n v="123.96"/>
    <n v="119.33333333333333"/>
    <n v="118.28"/>
    <n v="119.84"/>
    <n v="116.91999999999999"/>
    <n v="110.9"/>
    <n v="116.08000000000001"/>
    <n v="121.02000000000001"/>
    <n v="111.96"/>
    <n v="115.47999999999999"/>
    <n v="121"/>
    <n v="1583.12"/>
  </r>
  <r>
    <x v="1"/>
    <x v="8"/>
    <x v="1"/>
    <x v="96"/>
    <n v="4"/>
    <x v="267"/>
    <n v="127.88"/>
    <n v="113.6"/>
    <n v="126.9"/>
    <n v="108.24"/>
    <n v="132.12"/>
    <n v="130.88"/>
    <n v="130.69999999999999"/>
    <n v="94.2"/>
    <n v="124.6"/>
    <n v="118.55999999999999"/>
    <n v="129.62000000000003"/>
    <n v="124.82000000000001"/>
    <n v="128.57999999999998"/>
    <n v="124.38"/>
    <n v="120.16"/>
    <n v="123.7"/>
    <n v="119.4"/>
    <n v="117.88000000000002"/>
    <n v="119.7"/>
    <n v="116.74000000000001"/>
    <n v="110.92"/>
    <n v="116.1"/>
    <n v="121.32000000000001"/>
    <n v="112.1"/>
    <n v="115.5"/>
    <n v="121.02000000000001"/>
    <n v="1585.76"/>
  </r>
  <r>
    <x v="2"/>
    <x v="8"/>
    <x v="1"/>
    <x v="96"/>
    <n v="4"/>
    <x v="268"/>
    <n v="128.32"/>
    <n v="116.02"/>
    <n v="127.38"/>
    <n v="110.16"/>
    <n v="132.63999999999999"/>
    <n v="131.76"/>
    <n v="130.82"/>
    <n v="95.14"/>
    <n v="123.66000000000001"/>
    <n v="119.33999999999999"/>
    <n v="129.95999999999998"/>
    <n v="125.22"/>
    <n v="128.19999999999999"/>
    <n v="125.63999999999999"/>
    <n v="121.73999999999998"/>
    <n v="125.04"/>
    <n v="119.46666666666665"/>
    <n v="119.46"/>
    <n v="120.58"/>
    <n v="117.9"/>
    <n v="112.08"/>
    <n v="116.56000000000002"/>
    <n v="121.38"/>
    <n v="112.34"/>
    <n v="116.23999999999998"/>
    <n v="121.9"/>
    <n v="1594.1200000000001"/>
  </r>
  <r>
    <x v="0"/>
    <x v="8"/>
    <x v="2"/>
    <x v="97"/>
    <n v="3"/>
    <x v="266"/>
    <n v="126.1"/>
    <n v="115.28"/>
    <n v="126.2"/>
    <n v="108.44"/>
    <n v="129.41999999999999"/>
    <n v="129.38"/>
    <n v="124.46"/>
    <n v="95.7"/>
    <n v="123.28"/>
    <n v="118.12"/>
    <n v="128.69999999999999"/>
    <n v="123.72"/>
    <n v="127.02000000000001"/>
    <n v="124.1"/>
    <n v="120.14000000000001"/>
    <n v="123.47999999999999"/>
    <n v="118.8"/>
    <n v="117.84"/>
    <n v="119.33999999999999"/>
    <n v="116.47999999999999"/>
    <n v="110.03999999999999"/>
    <n v="115.62"/>
    <n v="120.34"/>
    <n v="111.3"/>
    <n v="114.84"/>
    <n v="120.32000000000001"/>
    <n v="1572.38"/>
  </r>
  <r>
    <x v="1"/>
    <x v="8"/>
    <x v="2"/>
    <x v="97"/>
    <n v="3"/>
    <x v="269"/>
    <n v="126.44"/>
    <n v="114.38"/>
    <n v="126.32"/>
    <n v="107.92"/>
    <n v="129.74"/>
    <n v="129.5"/>
    <n v="125.44"/>
    <n v="95.06"/>
    <n v="123.88"/>
    <n v="118.04"/>
    <n v="128.97999999999999"/>
    <n v="123.9"/>
    <n v="127.46"/>
    <n v="123.84"/>
    <n v="119.72"/>
    <n v="123.2"/>
    <n v="118.89999999999999"/>
    <n v="117.46"/>
    <n v="119.24000000000001"/>
    <n v="116.26000000000002"/>
    <n v="109.74000000000001"/>
    <n v="115.7"/>
    <n v="120.66"/>
    <n v="111.47999999999999"/>
    <n v="114.75999999999999"/>
    <n v="120.24000000000001"/>
    <n v="1573.2199999999998"/>
  </r>
  <r>
    <x v="2"/>
    <x v="8"/>
    <x v="2"/>
    <x v="97"/>
    <n v="3"/>
    <x v="270"/>
    <n v="126.52"/>
    <n v="115.14"/>
    <n v="126.68"/>
    <n v="109.46"/>
    <n v="131.80000000000001"/>
    <n v="128.91999999999999"/>
    <n v="124.86"/>
    <n v="95.94"/>
    <n v="122.54"/>
    <n v="118.67999999999999"/>
    <n v="129.1"/>
    <n v="124"/>
    <n v="127.04"/>
    <n v="124.96"/>
    <n v="121.16"/>
    <n v="124.38"/>
    <n v="119"/>
    <n v="118.96"/>
    <n v="119.94000000000001"/>
    <n v="117.28"/>
    <n v="110.72"/>
    <n v="115.96000000000001"/>
    <n v="120.64000000000001"/>
    <n v="111.67999999999999"/>
    <n v="115.38"/>
    <n v="120.9"/>
    <n v="1577.16"/>
  </r>
  <r>
    <x v="0"/>
    <x v="8"/>
    <x v="3"/>
    <x v="98"/>
    <n v="2"/>
    <x v="257"/>
    <n v="125.48"/>
    <n v="119.02"/>
    <n v="125.8"/>
    <n v="108.42"/>
    <n v="126.3"/>
    <n v="129.76"/>
    <n v="122.38"/>
    <n v="97.08"/>
    <n v="122.93999999999998"/>
    <n v="117.9"/>
    <n v="127.97999999999999"/>
    <n v="123.32000000000001"/>
    <n v="126.2"/>
    <n v="123.64000000000001"/>
    <n v="119.81999999999998"/>
    <n v="123.05999999999999"/>
    <n v="118.26666666666665"/>
    <n v="117.33999999999999"/>
    <n v="118.84"/>
    <n v="116.12"/>
    <n v="109.28"/>
    <n v="115.1"/>
    <n v="119.76000000000002"/>
    <n v="111.16"/>
    <n v="114.31999999999998"/>
    <n v="119.84"/>
    <n v="1570.1200000000001"/>
  </r>
  <r>
    <x v="1"/>
    <x v="8"/>
    <x v="3"/>
    <x v="98"/>
    <n v="2"/>
    <x v="260"/>
    <n v="125.68"/>
    <n v="117.96"/>
    <n v="125.84"/>
    <n v="107.96"/>
    <n v="125.94"/>
    <n v="129.96"/>
    <n v="123.1"/>
    <n v="96.48"/>
    <n v="123.64000000000001"/>
    <n v="117.76000000000002"/>
    <n v="128.29999999999998"/>
    <n v="123.43999999999998"/>
    <n v="126.52000000000001"/>
    <n v="123.42"/>
    <n v="119.35999999999999"/>
    <n v="122.8"/>
    <n v="118.35"/>
    <n v="116.99999999999997"/>
    <n v="118.76000000000002"/>
    <n v="115.92"/>
    <n v="109.08"/>
    <n v="115.22"/>
    <n v="120.04"/>
    <n v="111.2"/>
    <n v="114.26000000000002"/>
    <n v="119.76000000000002"/>
    <n v="1569.8200000000002"/>
  </r>
  <r>
    <x v="2"/>
    <x v="8"/>
    <x v="3"/>
    <x v="98"/>
    <n v="2"/>
    <x v="271"/>
    <n v="125.48"/>
    <n v="117.5"/>
    <n v="126.08"/>
    <n v="109.36"/>
    <n v="128.46"/>
    <n v="129.1"/>
    <n v="122.38"/>
    <n v="97.04"/>
    <n v="122.05999999999999"/>
    <n v="118.28"/>
    <n v="128.32"/>
    <n v="123.42"/>
    <n v="126.04"/>
    <n v="124.44000000000001"/>
    <n v="120.71999999999998"/>
    <n v="123.88000000000002"/>
    <n v="118.43333333333332"/>
    <n v="118.44000000000001"/>
    <n v="119.4"/>
    <n v="116.82000000000001"/>
    <n v="110.1"/>
    <n v="115.48000000000002"/>
    <n v="119.94000000000001"/>
    <n v="111.17999999999999"/>
    <n v="114.81999999999998"/>
    <n v="120.31999999999998"/>
    <n v="1571.04"/>
  </r>
  <r>
    <x v="0"/>
    <x v="8"/>
    <x v="4"/>
    <x v="99"/>
    <n v="1"/>
    <x v="267"/>
    <n v="124.68"/>
    <n v="122.82"/>
    <n v="125.3"/>
    <n v="108.04"/>
    <n v="125.78"/>
    <n v="131.94"/>
    <n v="120.62"/>
    <n v="98.12"/>
    <n v="122.08000000000001"/>
    <n v="117.46"/>
    <n v="127.14000000000001"/>
    <n v="123.17999999999999"/>
    <n v="125.28"/>
    <n v="123.03999999999999"/>
    <n v="119.24000000000001"/>
    <n v="122.46"/>
    <n v="117.56666666666666"/>
    <n v="116.46"/>
    <n v="118.30000000000003"/>
    <n v="115.52000000000001"/>
    <n v="109.2"/>
    <n v="114.52000000000001"/>
    <n v="119.55999999999999"/>
    <n v="110.96000000000001"/>
    <n v="114.02000000000001"/>
    <n v="119.52000000000001"/>
    <n v="1570.8000000000002"/>
  </r>
  <r>
    <x v="1"/>
    <x v="8"/>
    <x v="4"/>
    <x v="99"/>
    <n v="1"/>
    <x v="260"/>
    <n v="125.08"/>
    <n v="122.62"/>
    <n v="125.46"/>
    <n v="107.66"/>
    <n v="124.86"/>
    <n v="131.36000000000001"/>
    <n v="121.36"/>
    <n v="97.68"/>
    <n v="122.96"/>
    <n v="117.48000000000002"/>
    <n v="127.54"/>
    <n v="123.23999999999998"/>
    <n v="125.78000000000002"/>
    <n v="122.92"/>
    <n v="118.93999999999998"/>
    <n v="122.31999999999998"/>
    <n v="117.69999999999999"/>
    <n v="116.32000000000001"/>
    <n v="118.25999999999999"/>
    <n v="115.46"/>
    <n v="108.74000000000001"/>
    <n v="114.7"/>
    <n v="119.86000000000001"/>
    <n v="111.16000000000001"/>
    <n v="113.93999999999998"/>
    <n v="119.4"/>
    <n v="1571.0600000000002"/>
  </r>
  <r>
    <x v="2"/>
    <x v="8"/>
    <x v="4"/>
    <x v="99"/>
    <n v="1"/>
    <x v="269"/>
    <n v="124.92"/>
    <n v="121.08"/>
    <n v="125.62"/>
    <n v="109.16"/>
    <n v="126.78"/>
    <n v="130.08000000000001"/>
    <n v="120.76"/>
    <n v="98.24"/>
    <n v="121.51999999999998"/>
    <n v="117.96"/>
    <n v="127.48000000000002"/>
    <n v="123.16"/>
    <n v="125.23999999999998"/>
    <n v="123.92"/>
    <n v="120.3"/>
    <n v="123.38000000000002"/>
    <n v="117.83333333333333"/>
    <n v="117.75999999999999"/>
    <n v="118.85999999999999"/>
    <n v="116.35999999999999"/>
    <n v="109.47999999999999"/>
    <n v="114.88"/>
    <n v="119.58"/>
    <n v="111.03999999999999"/>
    <n v="114.35999999999999"/>
    <n v="119.92"/>
    <n v="1570.38"/>
  </r>
  <r>
    <x v="0"/>
    <x v="9"/>
    <x v="5"/>
    <x v="100"/>
    <n v="12"/>
    <x v="272"/>
    <n v="123.78"/>
    <n v="124.06"/>
    <n v="124.74"/>
    <n v="107.22"/>
    <n v="125.66"/>
    <n v="137.69999999999999"/>
    <n v="118.82"/>
    <n v="99.4"/>
    <n v="120.85999999999999"/>
    <n v="116.92"/>
    <n v="126.42"/>
    <n v="123.44000000000001"/>
    <n v="124.24000000000001"/>
    <n v="122.5"/>
    <n v="118.54"/>
    <n v="121.9"/>
    <n v="116.76666666666667"/>
    <n v="115.58"/>
    <n v="117.72"/>
    <n v="114.96000000000001"/>
    <n v="109.85999999999999"/>
    <n v="114.02000000000001"/>
    <n v="119.38"/>
    <n v="110.24000000000001"/>
    <n v="113.86000000000001"/>
    <n v="119.38000000000002"/>
    <n v="1572.3000000000002"/>
  </r>
  <r>
    <x v="1"/>
    <x v="9"/>
    <x v="5"/>
    <x v="100"/>
    <n v="12"/>
    <x v="273"/>
    <n v="124.08"/>
    <n v="124.46"/>
    <n v="124.9"/>
    <n v="106.88"/>
    <n v="125.18"/>
    <n v="136.24"/>
    <n v="119.38"/>
    <n v="98.8"/>
    <n v="121.71999999999998"/>
    <n v="116.91999999999999"/>
    <n v="126.8"/>
    <n v="123.4"/>
    <n v="124.7"/>
    <n v="122.36000000000001"/>
    <n v="118.28"/>
    <n v="121.74000000000001"/>
    <n v="116.9"/>
    <n v="115.4"/>
    <n v="117.7"/>
    <n v="114.81999999999998"/>
    <n v="109.43999999999998"/>
    <n v="114.21999999999998"/>
    <n v="119.78"/>
    <n v="110.5"/>
    <n v="113.82000000000001"/>
    <n v="119.22"/>
    <n v="1572.2400000000002"/>
  </r>
  <r>
    <x v="2"/>
    <x v="9"/>
    <x v="5"/>
    <x v="100"/>
    <n v="12"/>
    <x v="274"/>
    <n v="124.02"/>
    <n v="123.62"/>
    <n v="125.08"/>
    <n v="108.58"/>
    <n v="126.6"/>
    <n v="133.68"/>
    <n v="119.12"/>
    <n v="99.24"/>
    <n v="120.35999999999999"/>
    <n v="117.46"/>
    <n v="126.63999999999999"/>
    <n v="123.16"/>
    <n v="124.26000000000002"/>
    <n v="123.3"/>
    <n v="119.66"/>
    <n v="122.74000000000001"/>
    <n v="117.03333333333335"/>
    <n v="116.8"/>
    <n v="118.26000000000002"/>
    <n v="115.72"/>
    <n v="109.85999999999999"/>
    <n v="114.32000000000001"/>
    <n v="119.38"/>
    <n v="110.58"/>
    <n v="114.14000000000001"/>
    <n v="119.66"/>
    <n v="1570.9199999999998"/>
  </r>
  <r>
    <x v="0"/>
    <x v="9"/>
    <x v="6"/>
    <x v="101"/>
    <n v="11"/>
    <x v="275"/>
    <n v="123.8"/>
    <n v="122.34"/>
    <n v="124.38"/>
    <n v="106.94"/>
    <n v="125.52"/>
    <n v="147.78"/>
    <n v="117.82"/>
    <n v="101"/>
    <n v="120.1"/>
    <n v="116.47999999999999"/>
    <n v="125.88"/>
    <n v="124.54"/>
    <n v="123.35999999999999"/>
    <n v="122.04"/>
    <n v="118.13999999999999"/>
    <n v="121.46"/>
    <n v="116.89999999999999"/>
    <n v="115.16"/>
    <n v="117.35999999999999"/>
    <n v="114.62"/>
    <n v="110.55999999999999"/>
    <n v="113.72"/>
    <n v="118.97999999999999"/>
    <n v="109.46"/>
    <n v="113.78"/>
    <n v="119.78"/>
    <n v="1579.9599999999996"/>
  </r>
  <r>
    <x v="1"/>
    <x v="9"/>
    <x v="6"/>
    <x v="101"/>
    <n v="11"/>
    <x v="276"/>
    <n v="123.92"/>
    <n v="123.06"/>
    <n v="124.48"/>
    <n v="106.36"/>
    <n v="124.9"/>
    <n v="145.47999999999999"/>
    <n v="118.1"/>
    <n v="100.46"/>
    <n v="120.76000000000002"/>
    <n v="116.47999999999999"/>
    <n v="126.2"/>
    <n v="124.28"/>
    <n v="123.8"/>
    <n v="121.9"/>
    <n v="117.75999999999999"/>
    <n v="121.28"/>
    <n v="116.8"/>
    <n v="114.84"/>
    <n v="117.24000000000001"/>
    <n v="114.46"/>
    <n v="110.17999999999999"/>
    <n v="113.84"/>
    <n v="119.44000000000001"/>
    <n v="109.66"/>
    <n v="113.71999999999998"/>
    <n v="119.43999999999998"/>
    <n v="1577.9"/>
  </r>
  <r>
    <x v="2"/>
    <x v="9"/>
    <x v="6"/>
    <x v="101"/>
    <n v="11"/>
    <x v="277"/>
    <n v="123.42"/>
    <n v="122.94"/>
    <n v="124.54"/>
    <n v="107.92"/>
    <n v="126.54"/>
    <n v="141.30000000000001"/>
    <n v="117.68"/>
    <n v="100.6"/>
    <n v="119.28000000000002"/>
    <n v="116.9"/>
    <n v="125.94000000000001"/>
    <n v="123.75999999999999"/>
    <n v="123.18000000000002"/>
    <n v="122.71999999999998"/>
    <n v="119"/>
    <n v="122.17999999999999"/>
    <n v="116.7"/>
    <n v="116"/>
    <n v="117.74000000000001"/>
    <n v="115.17999999999999"/>
    <n v="110.44000000000001"/>
    <n v="113.84"/>
    <n v="119.02000000000001"/>
    <n v="109.78"/>
    <n v="113.94000000000001"/>
    <n v="119.69999999999997"/>
    <n v="1573.96"/>
  </r>
  <r>
    <x v="0"/>
    <x v="9"/>
    <x v="7"/>
    <x v="102"/>
    <n v="10"/>
    <x v="270"/>
    <n v="124.12"/>
    <n v="119.36"/>
    <n v="123.62"/>
    <n v="107.12"/>
    <n v="125.96"/>
    <n v="155.38"/>
    <n v="116.9"/>
    <n v="102.28"/>
    <n v="119.52000000000001"/>
    <n v="116.14000000000001"/>
    <n v="125"/>
    <n v="125.31999999999998"/>
    <n v="122.4"/>
    <n v="121.47999999999999"/>
    <n v="117.83999999999999"/>
    <n v="120.92"/>
    <n v="116.83333333333333"/>
    <n v="114.6"/>
    <n v="116.9"/>
    <n v="114.22"/>
    <n v="111.42"/>
    <n v="113.44000000000001"/>
    <n v="118.67999999999999"/>
    <n v="109.47999999999999"/>
    <n v="113.82000000000001"/>
    <n v="120.05999999999999"/>
    <n v="1584.24"/>
  </r>
  <r>
    <x v="1"/>
    <x v="9"/>
    <x v="7"/>
    <x v="102"/>
    <n v="10"/>
    <x v="278"/>
    <n v="124.36"/>
    <n v="119.9"/>
    <n v="123.82"/>
    <n v="106.58"/>
    <n v="125.32"/>
    <n v="154.80000000000001"/>
    <n v="117.24"/>
    <n v="101.9"/>
    <n v="120.2"/>
    <n v="116.06000000000002"/>
    <n v="125.47999999999999"/>
    <n v="125.32000000000001"/>
    <n v="122.82000000000001"/>
    <n v="121.35999999999999"/>
    <n v="117.46"/>
    <n v="120.78"/>
    <n v="116.9"/>
    <n v="114.42"/>
    <n v="116.85999999999999"/>
    <n v="114.11999999999998"/>
    <n v="111.05999999999999"/>
    <n v="113.58"/>
    <n v="119.1"/>
    <n v="109.44000000000001"/>
    <n v="113.78"/>
    <n v="119.88"/>
    <n v="1584.6399999999999"/>
  </r>
  <r>
    <x v="2"/>
    <x v="9"/>
    <x v="7"/>
    <x v="102"/>
    <n v="10"/>
    <x v="279"/>
    <n v="123.62"/>
    <n v="120.7"/>
    <n v="124.04"/>
    <n v="107.92"/>
    <n v="126.34"/>
    <n v="150.94"/>
    <n v="117.02"/>
    <n v="102.06"/>
    <n v="118.64000000000001"/>
    <n v="116.47999999999999"/>
    <n v="125.25999999999999"/>
    <n v="124.82000000000001"/>
    <n v="122.3"/>
    <n v="122.2"/>
    <n v="118.6"/>
    <n v="121.66"/>
    <n v="116.96666666666665"/>
    <n v="115.5"/>
    <n v="117.34"/>
    <n v="114.84"/>
    <n v="111.16"/>
    <n v="113.52000000000001"/>
    <n v="118.6"/>
    <n v="109.3"/>
    <n v="113.88"/>
    <n v="120.11999999999998"/>
    <n v="1581.06"/>
  </r>
  <r>
    <x v="0"/>
    <x v="9"/>
    <x v="8"/>
    <x v="103"/>
    <n v="9"/>
    <x v="280"/>
    <n v="123.98"/>
    <n v="117.52"/>
    <n v="122.88"/>
    <n v="107.16"/>
    <n v="126.8"/>
    <n v="160.88"/>
    <n v="116.08"/>
    <n v="103.12"/>
    <n v="118.9"/>
    <n v="115.82000000000001"/>
    <n v="124.14000000000001"/>
    <n v="125.73999999999998"/>
    <n v="121.78"/>
    <n v="120.78"/>
    <n v="117.22"/>
    <n v="120.2"/>
    <n v="116.3"/>
    <n v="114.05999999999999"/>
    <n v="116.31999999999998"/>
    <n v="113.67999999999999"/>
    <n v="111.92"/>
    <n v="113.14000000000001"/>
    <n v="118.46000000000001"/>
    <n v="109.6"/>
    <n v="113.74000000000001"/>
    <n v="120.06000000000002"/>
    <n v="1586.3400000000001"/>
  </r>
  <r>
    <x v="1"/>
    <x v="9"/>
    <x v="8"/>
    <x v="103"/>
    <n v="9"/>
    <x v="281"/>
    <n v="124.26"/>
    <n v="117.58"/>
    <n v="122.98"/>
    <n v="106.66"/>
    <n v="126.12"/>
    <n v="160.47999999999999"/>
    <n v="116.3"/>
    <n v="102.8"/>
    <n v="119.54"/>
    <n v="115.73999999999998"/>
    <n v="124.52000000000001"/>
    <n v="125.76000000000002"/>
    <n v="122.1"/>
    <n v="120.74000000000001"/>
    <n v="117"/>
    <n v="120.14000000000001"/>
    <n v="116.39999999999999"/>
    <n v="113.84"/>
    <n v="116.32000000000001"/>
    <n v="113.63999999999999"/>
    <n v="111.71999999999998"/>
    <n v="113.28"/>
    <n v="118.9"/>
    <n v="109.7"/>
    <n v="113.78"/>
    <n v="119.9"/>
    <n v="1586.24"/>
  </r>
  <r>
    <x v="2"/>
    <x v="9"/>
    <x v="8"/>
    <x v="103"/>
    <n v="9"/>
    <x v="282"/>
    <n v="123.7"/>
    <n v="118.28"/>
    <n v="123.24"/>
    <n v="108.06"/>
    <n v="126.98"/>
    <n v="157.16"/>
    <n v="116.16"/>
    <n v="103.08"/>
    <n v="118.11999999999998"/>
    <n v="116.13999999999999"/>
    <n v="124.38"/>
    <n v="125.4"/>
    <n v="121.4"/>
    <n v="121.55999999999999"/>
    <n v="118.2"/>
    <n v="121.03999999999999"/>
    <n v="116.5"/>
    <n v="114.93999999999998"/>
    <n v="116.83999999999999"/>
    <n v="114.36000000000001"/>
    <n v="111.88000000000002"/>
    <n v="113.25999999999999"/>
    <n v="118.34"/>
    <n v="109.46"/>
    <n v="113.88"/>
    <n v="120.28"/>
    <n v="1583.9"/>
  </r>
  <r>
    <x v="0"/>
    <x v="9"/>
    <x v="9"/>
    <x v="104"/>
    <n v="8"/>
    <x v="283"/>
    <n v="124.46"/>
    <n v="117.16"/>
    <n v="122.3"/>
    <n v="107.22"/>
    <n v="129.56"/>
    <n v="167.72"/>
    <n v="115.14"/>
    <n v="103.74"/>
    <n v="118.31999999999998"/>
    <n v="115.33999999999999"/>
    <n v="123.46000000000001"/>
    <n v="126.55999999999999"/>
    <n v="121.1"/>
    <n v="120.08"/>
    <n v="116.67999999999999"/>
    <n v="119.58000000000001"/>
    <n v="115.7"/>
    <n v="113.75999999999999"/>
    <n v="115.8"/>
    <n v="113.25999999999999"/>
    <n v="112.5"/>
    <n v="112.74000000000001"/>
    <n v="118"/>
    <n v="109.78"/>
    <n v="113.67999999999999"/>
    <n v="120.20000000000002"/>
    <n v="1594.1399999999996"/>
  </r>
  <r>
    <x v="1"/>
    <x v="9"/>
    <x v="9"/>
    <x v="104"/>
    <n v="8"/>
    <x v="275"/>
    <n v="124.6"/>
    <n v="117.06"/>
    <n v="122.46"/>
    <n v="106.68"/>
    <n v="129.08000000000001"/>
    <n v="167.92"/>
    <n v="115.44"/>
    <n v="103.48"/>
    <n v="118.92"/>
    <n v="115.34"/>
    <n v="123.88"/>
    <n v="126.66"/>
    <n v="121.5"/>
    <n v="120.04"/>
    <n v="116.35999999999999"/>
    <n v="119.46000000000001"/>
    <n v="115.80000000000001"/>
    <n v="113.54"/>
    <n v="115.83999999999999"/>
    <n v="113.2"/>
    <n v="112.25999999999999"/>
    <n v="112.92"/>
    <n v="118.47999999999999"/>
    <n v="109.8"/>
    <n v="113.72"/>
    <n v="120.08"/>
    <n v="1594.8999999999999"/>
  </r>
  <r>
    <x v="2"/>
    <x v="9"/>
    <x v="9"/>
    <x v="104"/>
    <n v="8"/>
    <x v="284"/>
    <n v="123.64"/>
    <n v="117.42"/>
    <n v="122.66"/>
    <n v="108.06"/>
    <n v="128.32"/>
    <n v="162.6"/>
    <n v="115.5"/>
    <n v="103.74"/>
    <n v="117.55999999999999"/>
    <n v="115.82000000000001"/>
    <n v="123.58"/>
    <n v="125.9"/>
    <n v="120.9"/>
    <n v="120.85999999999999"/>
    <n v="117.6"/>
    <n v="120.33999999999999"/>
    <n v="115.89999999999999"/>
    <n v="114.46000000000001"/>
    <n v="116.28"/>
    <n v="113.82000000000001"/>
    <n v="112.28"/>
    <n v="112.94000000000001"/>
    <n v="118.02000000000001"/>
    <n v="109.55999999999999"/>
    <n v="113.74000000000001"/>
    <n v="120.3"/>
    <n v="1587.7399999999998"/>
  </r>
  <r>
    <x v="0"/>
    <x v="9"/>
    <x v="10"/>
    <x v="105"/>
    <n v="7"/>
    <x v="285"/>
    <n v="124.58"/>
    <n v="117.56"/>
    <n v="121.46"/>
    <n v="107.2"/>
    <n v="131.28"/>
    <n v="164.64"/>
    <n v="113.76"/>
    <n v="103.88"/>
    <n v="117.1"/>
    <n v="114.88"/>
    <n v="122.55999999999999"/>
    <n v="125.85999999999999"/>
    <n v="119.92"/>
    <n v="119.55999999999999"/>
    <n v="116.22"/>
    <n v="119.08"/>
    <n v="115.03333333333335"/>
    <n v="113.59999999999998"/>
    <n v="115.33999999999999"/>
    <n v="112.76000000000002"/>
    <n v="113"/>
    <n v="112.28"/>
    <n v="117.1"/>
    <n v="109.52000000000001"/>
    <n v="113.46"/>
    <n v="119.64000000000001"/>
    <n v="1587.6599999999996"/>
  </r>
  <r>
    <x v="1"/>
    <x v="9"/>
    <x v="10"/>
    <x v="105"/>
    <n v="7"/>
    <x v="286"/>
    <n v="124.96"/>
    <n v="117.48"/>
    <n v="121.74"/>
    <n v="106.72"/>
    <n v="131.68"/>
    <n v="168.26"/>
    <n v="114.02"/>
    <n v="103.78"/>
    <n v="117.86000000000001"/>
    <n v="114.8"/>
    <n v="123"/>
    <n v="126.52000000000001"/>
    <n v="120.3"/>
    <n v="119.42"/>
    <n v="115.91999999999999"/>
    <n v="118.94000000000001"/>
    <n v="115.15"/>
    <n v="113.34"/>
    <n v="115.38"/>
    <n v="112.73999999999998"/>
    <n v="112.92"/>
    <n v="112.44000000000001"/>
    <n v="117.6"/>
    <n v="109.74000000000001"/>
    <n v="113.58000000000001"/>
    <n v="119.8"/>
    <n v="1593.9199999999998"/>
  </r>
  <r>
    <x v="2"/>
    <x v="9"/>
    <x v="10"/>
    <x v="105"/>
    <n v="7"/>
    <x v="287"/>
    <n v="124.16"/>
    <n v="117.44"/>
    <n v="121.96"/>
    <n v="108.1"/>
    <n v="130.9"/>
    <n v="165.54"/>
    <n v="114.4"/>
    <n v="104.18"/>
    <n v="116.83999999999999"/>
    <n v="115.34"/>
    <n v="122.84"/>
    <n v="126.16"/>
    <n v="120"/>
    <n v="120.16000000000001"/>
    <n v="117.04"/>
    <n v="119.72"/>
    <n v="115.26666666666667"/>
    <n v="114.17999999999999"/>
    <n v="115.74000000000001"/>
    <n v="113.34"/>
    <n v="112.88"/>
    <n v="112.48000000000002"/>
    <n v="117.35999999999999"/>
    <n v="109.62"/>
    <n v="113.62"/>
    <n v="120.2"/>
    <n v="1590.6599999999996"/>
  </r>
  <r>
    <x v="0"/>
    <x v="9"/>
    <x v="11"/>
    <x v="106"/>
    <n v="6"/>
    <x v="288"/>
    <n v="123.9"/>
    <n v="116.6"/>
    <n v="120.32"/>
    <n v="107.08"/>
    <n v="129.62"/>
    <n v="144.28"/>
    <n v="112.74"/>
    <n v="103.08"/>
    <n v="115.64000000000001"/>
    <n v="114.33999999999999"/>
    <n v="121.6"/>
    <n v="122.46"/>
    <n v="118.62"/>
    <n v="118.92"/>
    <n v="115.6"/>
    <n v="118.4"/>
    <n v="114.2"/>
    <n v="113.14000000000001"/>
    <n v="114.81999999999998"/>
    <n v="112.28"/>
    <n v="112.34"/>
    <n v="111.8"/>
    <n v="115.5"/>
    <n v="108.7"/>
    <n v="112.67999999999999"/>
    <n v="117.7"/>
    <n v="1553.82"/>
  </r>
  <r>
    <x v="1"/>
    <x v="9"/>
    <x v="11"/>
    <x v="106"/>
    <n v="6"/>
    <x v="289"/>
    <n v="124.36"/>
    <n v="116.94"/>
    <n v="120.66"/>
    <n v="106.6"/>
    <n v="130.69999999999999"/>
    <n v="149.96"/>
    <n v="112.94"/>
    <n v="103.18"/>
    <n v="116.28"/>
    <n v="114.32000000000001"/>
    <n v="122"/>
    <n v="123.5"/>
    <n v="118.92"/>
    <n v="118.9"/>
    <n v="115.4"/>
    <n v="118.36000000000001"/>
    <n v="114.35000000000001"/>
    <n v="113.03999999999999"/>
    <n v="114.88"/>
    <n v="112.26000000000002"/>
    <n v="112.52000000000001"/>
    <n v="111.94000000000001"/>
    <n v="116"/>
    <n v="108.94000000000001"/>
    <n v="112.88"/>
    <n v="118.14000000000001"/>
    <n v="1563.94"/>
  </r>
  <r>
    <x v="2"/>
    <x v="9"/>
    <x v="11"/>
    <x v="106"/>
    <n v="6"/>
    <x v="290"/>
    <n v="123.74"/>
    <n v="117.42"/>
    <n v="120.96"/>
    <n v="108.04"/>
    <n v="130.4"/>
    <n v="154.68"/>
    <n v="113.2"/>
    <n v="103.92"/>
    <n v="115.54"/>
    <n v="114.84"/>
    <n v="121.86000000000001"/>
    <n v="124.16"/>
    <n v="118.88"/>
    <n v="119.6"/>
    <n v="116.52000000000001"/>
    <n v="119.16000000000001"/>
    <n v="114.5"/>
    <n v="113.88"/>
    <n v="115.2"/>
    <n v="112.78"/>
    <n v="112.86000000000001"/>
    <n v="112.02000000000001"/>
    <n v="116.22"/>
    <n v="109.08"/>
    <n v="113.14000000000001"/>
    <n v="119"/>
    <n v="1571.0000000000002"/>
  </r>
  <r>
    <x v="0"/>
    <x v="9"/>
    <x v="0"/>
    <x v="107"/>
    <n v="5"/>
    <x v="291"/>
    <n v="122.68"/>
    <n v="115.7"/>
    <n v="119.04"/>
    <n v="107"/>
    <n v="128.04"/>
    <n v="128.54"/>
    <n v="112.2"/>
    <n v="102.52"/>
    <n v="114.52000000000001"/>
    <n v="113.78000000000002"/>
    <n v="120.75999999999999"/>
    <n v="119.72"/>
    <n v="117.54"/>
    <n v="118.12"/>
    <n v="115.08"/>
    <n v="117.66"/>
    <n v="114.16666666666667"/>
    <n v="112.52000000000001"/>
    <n v="114.29999999999998"/>
    <n v="111.86000000000001"/>
    <n v="111.54"/>
    <n v="111.35999999999999"/>
    <n v="113.67999999999999"/>
    <n v="108.8"/>
    <n v="111.96000000000001"/>
    <n v="116.16"/>
    <n v="1526.08"/>
  </r>
  <r>
    <x v="1"/>
    <x v="9"/>
    <x v="0"/>
    <x v="107"/>
    <n v="5"/>
    <x v="292"/>
    <n v="123.26"/>
    <n v="115.48"/>
    <n v="119.38"/>
    <n v="106.54"/>
    <n v="128.44"/>
    <n v="130.18"/>
    <n v="112.38"/>
    <n v="102.4"/>
    <n v="115.05999999999999"/>
    <n v="113.78"/>
    <n v="121.16000000000001"/>
    <n v="120.16"/>
    <n v="117.83999999999999"/>
    <n v="118.13999999999999"/>
    <n v="114.84"/>
    <n v="117.62"/>
    <n v="114.1"/>
    <n v="112.47999999999999"/>
    <n v="114.4"/>
    <n v="111.9"/>
    <n v="111.62"/>
    <n v="111.5"/>
    <n v="114.01999999999998"/>
    <n v="108.67999999999999"/>
    <n v="112.05999999999999"/>
    <n v="116.3"/>
    <n v="1530.0400000000002"/>
  </r>
  <r>
    <x v="2"/>
    <x v="9"/>
    <x v="0"/>
    <x v="107"/>
    <n v="5"/>
    <x v="293"/>
    <n v="122.94"/>
    <n v="116.18"/>
    <n v="119.68"/>
    <n v="107.92"/>
    <n v="128.41999999999999"/>
    <n v="134.80000000000001"/>
    <n v="112.5"/>
    <n v="103.1"/>
    <n v="114.32000000000001"/>
    <n v="114.32000000000001"/>
    <n v="121"/>
    <n v="120.81999999999998"/>
    <n v="117.78000000000002"/>
    <n v="118.92"/>
    <n v="115.91999999999999"/>
    <n v="118.43999999999998"/>
    <n v="114.03333333333335"/>
    <n v="113.32000000000001"/>
    <n v="114.66"/>
    <n v="112.34"/>
    <n v="112"/>
    <n v="111.55999999999999"/>
    <n v="114.54"/>
    <n v="108.58"/>
    <n v="112.34"/>
    <n v="117.08000000000001"/>
    <n v="1537.6199999999997"/>
  </r>
  <r>
    <x v="0"/>
    <x v="9"/>
    <x v="1"/>
    <x v="108"/>
    <n v="4"/>
    <x v="294"/>
    <n v="120.96"/>
    <n v="115.74"/>
    <n v="117.62"/>
    <n v="106.74"/>
    <n v="126.76"/>
    <n v="122.66"/>
    <n v="111.42"/>
    <n v="101.9"/>
    <n v="113.54"/>
    <n v="113.3"/>
    <n v="120.08"/>
    <n v="118.24000000000001"/>
    <n v="116.72"/>
    <n v="117.46"/>
    <n v="114.58"/>
    <n v="117.04"/>
    <n v="114.03333333333335"/>
    <n v="112.26000000000002"/>
    <n v="113.78000000000002"/>
    <n v="111.52000000000001"/>
    <n v="111.25999999999999"/>
    <n v="111"/>
    <n v="112.83999999999999"/>
    <n v="109.03999999999999"/>
    <n v="111.58"/>
    <n v="115.36000000000001"/>
    <n v="1510.2799999999997"/>
  </r>
  <r>
    <x v="1"/>
    <x v="9"/>
    <x v="1"/>
    <x v="108"/>
    <n v="4"/>
    <x v="295"/>
    <n v="121.5"/>
    <n v="115.3"/>
    <n v="117.9"/>
    <n v="106.34"/>
    <n v="127.2"/>
    <n v="123.56"/>
    <n v="111.6"/>
    <n v="101.94"/>
    <n v="113.97999999999999"/>
    <n v="113.34"/>
    <n v="120.42"/>
    <n v="118.58"/>
    <n v="117"/>
    <n v="117.44000000000001"/>
    <n v="114.4"/>
    <n v="117"/>
    <n v="114.10000000000001"/>
    <n v="112.08"/>
    <n v="113.86000000000001"/>
    <n v="111.52000000000001"/>
    <n v="111.28"/>
    <n v="111.14000000000001"/>
    <n v="112.83999999999999"/>
    <n v="109.08"/>
    <n v="111.63999999999999"/>
    <n v="115.43999999999998"/>
    <n v="1513.16"/>
  </r>
  <r>
    <x v="2"/>
    <x v="9"/>
    <x v="1"/>
    <x v="108"/>
    <n v="4"/>
    <x v="296"/>
    <n v="121.48"/>
    <n v="115.86"/>
    <n v="118.36"/>
    <n v="107.78"/>
    <n v="127.02"/>
    <n v="125.18"/>
    <n v="111.84"/>
    <n v="102.6"/>
    <n v="113.38"/>
    <n v="113.78"/>
    <n v="120.24000000000001"/>
    <n v="118.84"/>
    <n v="116.94000000000001"/>
    <n v="118.12"/>
    <n v="115.35999999999999"/>
    <n v="117.71999999999998"/>
    <n v="114.16666666666667"/>
    <n v="112.78"/>
    <n v="114.16"/>
    <n v="111.88"/>
    <n v="111.48000000000002"/>
    <n v="111.17999999999999"/>
    <n v="113.2"/>
    <n v="108.85999999999999"/>
    <n v="111.82000000000001"/>
    <n v="115.9"/>
    <n v="1517.4999999999998"/>
  </r>
  <r>
    <x v="0"/>
    <x v="9"/>
    <x v="2"/>
    <x v="109"/>
    <n v="3"/>
    <x v="297"/>
    <n v="119.88"/>
    <n v="118.92"/>
    <n v="116.48"/>
    <n v="106.36"/>
    <n v="121.64"/>
    <n v="117.84"/>
    <n v="110.18"/>
    <n v="100"/>
    <n v="112.62"/>
    <n v="112.82000000000001"/>
    <n v="119.55999999999999"/>
    <n v="116.73999999999998"/>
    <n v="115.9"/>
    <n v="116.9"/>
    <n v="113.85999999999999"/>
    <n v="116.46000000000001"/>
    <n v="113.43333333333334"/>
    <n v="112.22"/>
    <n v="113.34"/>
    <n v="111.24000000000001"/>
    <n v="111.32000000000001"/>
    <n v="110.68000000000002"/>
    <n v="112.34"/>
    <n v="109.02000000000001"/>
    <n v="111.38"/>
    <n v="114.52000000000001"/>
    <n v="1494.1599999999999"/>
  </r>
  <r>
    <x v="1"/>
    <x v="9"/>
    <x v="2"/>
    <x v="109"/>
    <n v="3"/>
    <x v="298"/>
    <n v="120.24"/>
    <n v="118.02"/>
    <n v="116.66"/>
    <n v="105.96"/>
    <n v="122.94"/>
    <n v="118.4"/>
    <n v="110.34"/>
    <n v="100.12"/>
    <n v="113"/>
    <n v="112.85999999999999"/>
    <n v="119.85999999999999"/>
    <n v="117.02000000000001"/>
    <n v="116.17999999999999"/>
    <n v="116.88"/>
    <n v="113.8"/>
    <n v="116.42"/>
    <n v="113.55000000000001"/>
    <n v="112.04"/>
    <n v="113.38"/>
    <n v="111.25999999999999"/>
    <n v="111.32000000000001"/>
    <n v="110.82000000000001"/>
    <n v="112.4"/>
    <n v="109.04"/>
    <n v="111.42"/>
    <n v="114.62"/>
    <n v="1496.6999999999998"/>
  </r>
  <r>
    <x v="2"/>
    <x v="9"/>
    <x v="2"/>
    <x v="109"/>
    <n v="3"/>
    <x v="299"/>
    <n v="120"/>
    <n v="117.1"/>
    <n v="117.02"/>
    <n v="107.42"/>
    <n v="124.66"/>
    <n v="120.52"/>
    <n v="110.86"/>
    <n v="101.56"/>
    <n v="112.5"/>
    <n v="113.25999999999999"/>
    <n v="119.6"/>
    <n v="117.46000000000001"/>
    <n v="116.1"/>
    <n v="117.46000000000001"/>
    <n v="114.73999999999998"/>
    <n v="117.08"/>
    <n v="113.66666666666667"/>
    <n v="112.54"/>
    <n v="113.6"/>
    <n v="111.52000000000001"/>
    <n v="111.28"/>
    <n v="110.82000000000001"/>
    <n v="112.66"/>
    <n v="108.97999999999999"/>
    <n v="111.5"/>
    <n v="115.08"/>
    <n v="1502.8799999999999"/>
  </r>
  <r>
    <x v="0"/>
    <x v="9"/>
    <x v="3"/>
    <x v="110"/>
    <n v="2"/>
    <x v="300"/>
    <n v="119.68"/>
    <n v="122.08"/>
    <n v="115.52"/>
    <n v="106.04"/>
    <n v="116.68"/>
    <n v="114.64"/>
    <n v="109.28"/>
    <n v="98.64"/>
    <n v="112.02000000000001"/>
    <n v="112.56000000000002"/>
    <n v="119.05999999999999"/>
    <n v="115.6"/>
    <n v="115.28000000000002"/>
    <n v="116.41999999999999"/>
    <n v="113.3"/>
    <n v="115.94000000000001"/>
    <n v="112.73333333333333"/>
    <n v="112.2"/>
    <n v="112.94000000000001"/>
    <n v="110.83999999999999"/>
    <n v="111.2"/>
    <n v="110.28"/>
    <n v="111.91999999999999"/>
    <n v="108.84"/>
    <n v="111.1"/>
    <n v="113.8"/>
    <n v="1482.5399999999997"/>
  </r>
  <r>
    <x v="1"/>
    <x v="9"/>
    <x v="3"/>
    <x v="110"/>
    <n v="2"/>
    <x v="301"/>
    <n v="120"/>
    <n v="122.04"/>
    <n v="115.74"/>
    <n v="105.62"/>
    <n v="117.1"/>
    <n v="114.7"/>
    <n v="109.28"/>
    <n v="98.34"/>
    <n v="112.3"/>
    <n v="112.52000000000001"/>
    <n v="119.35999999999999"/>
    <n v="115.75999999999999"/>
    <n v="115.47999999999999"/>
    <n v="116.35999999999999"/>
    <n v="113.14000000000001"/>
    <n v="115.88"/>
    <n v="112.85"/>
    <n v="112.05999999999999"/>
    <n v="113"/>
    <n v="110.9"/>
    <n v="111.31999999999998"/>
    <n v="110.42"/>
    <n v="111.91999999999999"/>
    <n v="108.9"/>
    <n v="111.17999999999999"/>
    <n v="113.83999999999999"/>
    <n v="1483.76"/>
  </r>
  <r>
    <x v="2"/>
    <x v="9"/>
    <x v="3"/>
    <x v="110"/>
    <n v="2"/>
    <x v="302"/>
    <n v="119.38"/>
    <n v="120.76"/>
    <n v="116.1"/>
    <n v="107.06"/>
    <n v="119.38"/>
    <n v="116.5"/>
    <n v="109.84"/>
    <n v="99.78"/>
    <n v="111.84"/>
    <n v="112.8"/>
    <n v="119.12"/>
    <n v="116.16000000000001"/>
    <n v="115.32000000000001"/>
    <n v="116.92"/>
    <n v="114.01999999999998"/>
    <n v="116.5"/>
    <n v="112.96666666666665"/>
    <n v="112.52000000000001"/>
    <n v="113.22"/>
    <n v="111.17999999999999"/>
    <n v="111.3"/>
    <n v="110.46000000000001"/>
    <n v="112.2"/>
    <n v="108.94000000000001"/>
    <n v="111.28000000000002"/>
    <n v="114.3"/>
    <n v="1489.3799999999999"/>
  </r>
  <r>
    <x v="0"/>
    <x v="9"/>
    <x v="4"/>
    <x v="111"/>
    <n v="1"/>
    <x v="303"/>
    <n v="119.52"/>
    <n v="124.04"/>
    <n v="114.46"/>
    <n v="106.04"/>
    <n v="114.44"/>
    <n v="118.5"/>
    <n v="108.8"/>
    <n v="99.08"/>
    <n v="111.55999999999999"/>
    <n v="112.36000000000001"/>
    <n v="118.42"/>
    <n v="115.56000000000002"/>
    <n v="114.92"/>
    <n v="115.9"/>
    <n v="113.04"/>
    <n v="115.46"/>
    <n v="111.89999999999999"/>
    <n v="112.1"/>
    <n v="112.46000000000001"/>
    <n v="110.38"/>
    <n v="110.82000000000001"/>
    <n v="109.85999999999999"/>
    <n v="111.7"/>
    <n v="108.38"/>
    <n v="110.72"/>
    <n v="113.56000000000002"/>
    <n v="1482.98"/>
  </r>
  <r>
    <x v="1"/>
    <x v="9"/>
    <x v="4"/>
    <x v="111"/>
    <n v="1"/>
    <x v="304"/>
    <n v="119.94"/>
    <n v="124.44"/>
    <n v="114.6"/>
    <n v="105.56"/>
    <n v="114.42"/>
    <n v="116.62"/>
    <n v="108.74"/>
    <n v="98.56"/>
    <n v="111.8"/>
    <n v="112.4"/>
    <n v="118.71999999999998"/>
    <n v="115.42"/>
    <n v="115.05999999999999"/>
    <n v="115.88"/>
    <n v="112.8"/>
    <n v="115.4"/>
    <n v="112.05"/>
    <n v="111.97999999999999"/>
    <n v="112.5"/>
    <n v="110.4"/>
    <n v="110.94000000000001"/>
    <n v="109.96"/>
    <n v="111.7"/>
    <n v="108.46"/>
    <n v="110.78"/>
    <n v="113.44000000000001"/>
    <n v="1481.68"/>
  </r>
  <r>
    <x v="2"/>
    <x v="9"/>
    <x v="4"/>
    <x v="111"/>
    <n v="1"/>
    <x v="305"/>
    <n v="119.16"/>
    <n v="122.6"/>
    <n v="115.1"/>
    <n v="106.84"/>
    <n v="115.92"/>
    <n v="116.42"/>
    <n v="109.28"/>
    <n v="99.42"/>
    <n v="111.4"/>
    <n v="112.58"/>
    <n v="118.58"/>
    <n v="115.56000000000002"/>
    <n v="114.83999999999999"/>
    <n v="116.42"/>
    <n v="113.52000000000001"/>
    <n v="115.98000000000002"/>
    <n v="112.2"/>
    <n v="112.46"/>
    <n v="112.8"/>
    <n v="110.74000000000001"/>
    <n v="111.02000000000001"/>
    <n v="110.04"/>
    <n v="111.88"/>
    <n v="108.64000000000001"/>
    <n v="110.93999999999998"/>
    <n v="113.78"/>
    <n v="1483.1"/>
  </r>
  <r>
    <x v="0"/>
    <x v="10"/>
    <x v="5"/>
    <x v="112"/>
    <n v="12"/>
    <x v="306"/>
    <n v="117.96"/>
    <n v="124.56"/>
    <n v="113.6"/>
    <n v="106.42"/>
    <n v="113.42"/>
    <n v="135.74"/>
    <n v="108.48"/>
    <n v="100.34"/>
    <n v="111.02000000000001"/>
    <n v="112.16"/>
    <n v="117.71999999999998"/>
    <n v="117.28"/>
    <n v="114.46000000000001"/>
    <n v="115.3"/>
    <n v="112.67999999999999"/>
    <n v="114.9"/>
    <n v="111"/>
    <n v="111.82000000000001"/>
    <n v="111.91999999999999"/>
    <n v="109.82000000000001"/>
    <n v="110.14000000000001"/>
    <n v="109.3"/>
    <n v="111.55999999999999"/>
    <n v="108"/>
    <n v="110.2"/>
    <n v="114.08"/>
    <n v="1498.32"/>
  </r>
  <r>
    <x v="1"/>
    <x v="10"/>
    <x v="5"/>
    <x v="112"/>
    <n v="12"/>
    <x v="307"/>
    <n v="118.54"/>
    <n v="125.3"/>
    <n v="113.66"/>
    <n v="105.88"/>
    <n v="113.1"/>
    <n v="131.04"/>
    <n v="108.36"/>
    <n v="99.8"/>
    <n v="111.25999999999999"/>
    <n v="112.2"/>
    <n v="117.97999999999999"/>
    <n v="116.7"/>
    <n v="114.64000000000001"/>
    <n v="115.3"/>
    <n v="112.52000000000001"/>
    <n v="114.88"/>
    <n v="111.15"/>
    <n v="111.7"/>
    <n v="111.96"/>
    <n v="109.85999999999999"/>
    <n v="110.3"/>
    <n v="109.4"/>
    <n v="111.55999999999999"/>
    <n v="108.02000000000001"/>
    <n v="110.3"/>
    <n v="113.7"/>
    <n v="1493.68"/>
  </r>
  <r>
    <x v="2"/>
    <x v="10"/>
    <x v="5"/>
    <x v="112"/>
    <n v="12"/>
    <x v="308"/>
    <n v="118.46"/>
    <n v="123.84"/>
    <n v="114.1"/>
    <n v="107"/>
    <n v="114.28"/>
    <n v="125.28"/>
    <n v="108.9"/>
    <n v="100.3"/>
    <n v="110.96"/>
    <n v="112.36000000000001"/>
    <n v="117.91999999999999"/>
    <n v="116.2"/>
    <n v="114.47999999999999"/>
    <n v="115.88"/>
    <n v="113.24000000000001"/>
    <n v="115.48000000000002"/>
    <n v="111.3"/>
    <n v="112.25999999999999"/>
    <n v="112.28000000000002"/>
    <n v="110.24000000000001"/>
    <n v="110.52000000000001"/>
    <n v="109.6"/>
    <n v="111.67999999999999"/>
    <n v="108.22"/>
    <n v="110.52000000000001"/>
    <n v="113.84"/>
    <n v="1489.24"/>
  </r>
  <r>
    <x v="0"/>
    <x v="10"/>
    <x v="12"/>
    <x v="113"/>
    <n v="11"/>
    <x v="309"/>
    <n v="116.12"/>
    <n v="121.28"/>
    <n v="112.78"/>
    <n v="106.36"/>
    <n v="113.26"/>
    <n v="168.9"/>
    <n v="108.04"/>
    <n v="101.36"/>
    <n v="110.08000000000001"/>
    <n v="111.92"/>
    <n v="116.9"/>
    <n v="120.9"/>
    <n v="113.72"/>
    <n v="114.46000000000001"/>
    <n v="112.03999999999999"/>
    <n v="114.08"/>
    <n v="110.96666666666665"/>
    <n v="111.47999999999999"/>
    <n v="111.33999999999999"/>
    <n v="109.34"/>
    <n v="109.64000000000001"/>
    <n v="108.78"/>
    <n v="111.3"/>
    <n v="108.00000000000003"/>
    <n v="109.79999999999998"/>
    <n v="115.5"/>
    <n v="1526.72"/>
  </r>
  <r>
    <x v="1"/>
    <x v="10"/>
    <x v="6"/>
    <x v="114"/>
    <n v="11"/>
    <x v="310"/>
    <n v="116.48"/>
    <n v="122.74"/>
    <n v="112.9"/>
    <n v="106.04"/>
    <n v="112.6"/>
    <n v="162.36000000000001"/>
    <n v="107.96"/>
    <n v="100.94"/>
    <n v="110.38"/>
    <n v="111.97999999999999"/>
    <n v="117.17999999999999"/>
    <n v="120.08"/>
    <n v="113.96"/>
    <n v="114.58"/>
    <n v="111.96000000000001"/>
    <n v="114.16"/>
    <n v="110.89999999999999"/>
    <n v="111.33999999999999"/>
    <n v="111.42"/>
    <n v="109.34"/>
    <n v="109.67999999999999"/>
    <n v="108.84"/>
    <n v="111.4"/>
    <n v="107.94000000000001"/>
    <n v="109.84"/>
    <n v="114.92"/>
    <n v="1520.82"/>
  </r>
  <r>
    <x v="2"/>
    <x v="10"/>
    <x v="6"/>
    <x v="114"/>
    <n v="11"/>
    <x v="311"/>
    <n v="116.64"/>
    <n v="122.32"/>
    <n v="113.38"/>
    <n v="107.2"/>
    <n v="113.7"/>
    <n v="148.58000000000001"/>
    <n v="108.62"/>
    <n v="101.4"/>
    <n v="110.36000000000001"/>
    <n v="112.1"/>
    <n v="117.21999999999998"/>
    <n v="118.7"/>
    <n v="113.94000000000001"/>
    <n v="115.17999999999999"/>
    <n v="112.8"/>
    <n v="114.8"/>
    <n v="110.83333333333333"/>
    <n v="111.93999999999998"/>
    <n v="111.75999999999999"/>
    <n v="109.73999999999998"/>
    <n v="109.88000000000002"/>
    <n v="109.06000000000002"/>
    <n v="111.5"/>
    <n v="108.01999999999998"/>
    <n v="110.04"/>
    <n v="114.76000000000002"/>
    <n v="1509.2200000000003"/>
  </r>
  <r>
    <x v="0"/>
    <x v="10"/>
    <x v="7"/>
    <x v="115"/>
    <n v="10"/>
    <x v="312"/>
    <n v="116.2"/>
    <n v="115.84"/>
    <n v="111.62"/>
    <n v="105.56"/>
    <n v="111.18"/>
    <n v="178.1"/>
    <n v="107.26"/>
    <n v="101.98"/>
    <n v="109.16"/>
    <n v="111.46"/>
    <n v="115.88"/>
    <n v="121.24000000000001"/>
    <n v="113.02000000000001"/>
    <n v="113.47999999999999"/>
    <n v="111.31999999999998"/>
    <n v="113.12"/>
    <n v="110.7"/>
    <n v="110.96000000000001"/>
    <n v="110.62"/>
    <n v="108.8"/>
    <n v="109.52000000000001"/>
    <n v="108.31999999999998"/>
    <n v="110.92"/>
    <n v="107.66000000000001"/>
    <n v="109.42"/>
    <n v="115.34"/>
    <n v="1523.36"/>
  </r>
  <r>
    <x v="1"/>
    <x v="10"/>
    <x v="7"/>
    <x v="115"/>
    <n v="10"/>
    <x v="313"/>
    <n v="116.2"/>
    <n v="117.06"/>
    <n v="111.78"/>
    <n v="105.38"/>
    <n v="111.24"/>
    <n v="181.74"/>
    <n v="107.24"/>
    <n v="101.64"/>
    <n v="109.4"/>
    <n v="111.6"/>
    <n v="116.2"/>
    <n v="121.8"/>
    <n v="113.2"/>
    <n v="113.6"/>
    <n v="111.24000000000001"/>
    <n v="113.2"/>
    <n v="110.80000000000001"/>
    <n v="110.96000000000001"/>
    <n v="110.76000000000002"/>
    <n v="108.88"/>
    <n v="109.55999999999999"/>
    <n v="108.38"/>
    <n v="111.12"/>
    <n v="107.78"/>
    <n v="109.54"/>
    <n v="115.5"/>
    <n v="1529.52"/>
  </r>
  <r>
    <x v="2"/>
    <x v="10"/>
    <x v="7"/>
    <x v="115"/>
    <n v="10"/>
    <x v="314"/>
    <n v="115.76"/>
    <n v="118.24"/>
    <n v="112.46"/>
    <n v="106.82"/>
    <n v="113.1"/>
    <n v="174.18"/>
    <n v="108.08"/>
    <n v="102.18"/>
    <n v="109.43999999999998"/>
    <n v="111.74000000000001"/>
    <n v="116.35999999999999"/>
    <n v="121.38000000000002"/>
    <n v="113.22"/>
    <n v="114.25999999999999"/>
    <n v="112.1"/>
    <n v="113.9"/>
    <n v="110.89999999999999"/>
    <n v="111.58"/>
    <n v="111.14000000000001"/>
    <n v="109.25999999999999"/>
    <n v="109.6"/>
    <n v="108.62"/>
    <n v="111.17999999999999"/>
    <n v="107.94000000000001"/>
    <n v="109.67999999999999"/>
    <n v="115.8"/>
    <n v="1527.88"/>
  </r>
  <r>
    <x v="0"/>
    <x v="10"/>
    <x v="8"/>
    <x v="116"/>
    <n v="9"/>
    <x v="315"/>
    <n v="117.04"/>
    <n v="112.86"/>
    <n v="110.64"/>
    <n v="104.88"/>
    <n v="108.16"/>
    <n v="167.52"/>
    <n v="106.78"/>
    <n v="102.44"/>
    <n v="108.62"/>
    <n v="110.93999999999998"/>
    <n v="114.97999999999999"/>
    <n v="119.17999999999999"/>
    <n v="112.46"/>
    <n v="112.47999999999999"/>
    <n v="110.56000000000002"/>
    <n v="112.17999999999999"/>
    <n v="109.96666666666665"/>
    <n v="110.48000000000002"/>
    <n v="109.88"/>
    <n v="108.28"/>
    <n v="109.72"/>
    <n v="107.78000000000002"/>
    <n v="110.62"/>
    <n v="107.04"/>
    <n v="109.12"/>
    <n v="114.12"/>
    <n v="1501.16"/>
  </r>
  <r>
    <x v="1"/>
    <x v="10"/>
    <x v="8"/>
    <x v="116"/>
    <n v="9"/>
    <x v="316"/>
    <n v="117.16"/>
    <n v="113.18"/>
    <n v="110.68"/>
    <n v="104.54"/>
    <n v="107.96"/>
    <n v="170.96"/>
    <n v="106.62"/>
    <n v="102.14"/>
    <n v="108.78"/>
    <n v="111.1"/>
    <n v="115.25999999999999"/>
    <n v="119.66000000000001"/>
    <n v="112.62"/>
    <n v="112.58000000000001"/>
    <n v="110.52000000000001"/>
    <n v="112.23999999999998"/>
    <n v="110.1"/>
    <n v="110.44000000000001"/>
    <n v="110.02000000000001"/>
    <n v="108.33999999999999"/>
    <n v="109.75999999999999"/>
    <n v="107.85999999999999"/>
    <n v="110.82000000000001"/>
    <n v="107.17999999999999"/>
    <n v="109.22"/>
    <n v="114.23999999999998"/>
    <n v="1505.5"/>
  </r>
  <r>
    <x v="2"/>
    <x v="10"/>
    <x v="8"/>
    <x v="116"/>
    <n v="9"/>
    <x v="317"/>
    <n v="116.32"/>
    <n v="113.78"/>
    <n v="111.32"/>
    <n v="105.98"/>
    <n v="110.64"/>
    <n v="171.72"/>
    <n v="107.42"/>
    <n v="102.7"/>
    <n v="108.75999999999999"/>
    <n v="111.24000000000001"/>
    <n v="115.38"/>
    <n v="120.31999999999998"/>
    <n v="112.6"/>
    <n v="113.22"/>
    <n v="111.33999999999999"/>
    <n v="112.9"/>
    <n v="110.23333333333333"/>
    <n v="111.06000000000002"/>
    <n v="110.35999999999999"/>
    <n v="108.7"/>
    <n v="109.6"/>
    <n v="108.12"/>
    <n v="110.78000000000002"/>
    <n v="107.44000000000001"/>
    <n v="109.3"/>
    <n v="115.08"/>
    <n v="1512.78"/>
  </r>
  <r>
    <x v="0"/>
    <x v="10"/>
    <x v="9"/>
    <x v="117"/>
    <n v="8"/>
    <x v="318"/>
    <n v="117.56"/>
    <n v="112.08"/>
    <n v="109.82"/>
    <n v="104.22"/>
    <n v="108.68"/>
    <n v="159.19999999999999"/>
    <n v="106.36"/>
    <n v="102.64"/>
    <n v="107.96000000000001"/>
    <n v="110.46000000000001"/>
    <n v="113.93999999999998"/>
    <n v="117.62"/>
    <n v="111.78"/>
    <n v="111.4"/>
    <n v="109.66"/>
    <n v="111.12"/>
    <n v="109.16666666666667"/>
    <n v="109.9"/>
    <n v="109.06000000000002"/>
    <n v="107.76000000000002"/>
    <n v="108.72"/>
    <n v="107"/>
    <n v="110.08"/>
    <n v="106"/>
    <n v="108.36000000000001"/>
    <n v="112.92"/>
    <n v="1486.98"/>
  </r>
  <r>
    <x v="1"/>
    <x v="10"/>
    <x v="9"/>
    <x v="117"/>
    <n v="8"/>
    <x v="319"/>
    <n v="117.86"/>
    <n v="112.32"/>
    <n v="109.92"/>
    <n v="104"/>
    <n v="107.98"/>
    <n v="163.6"/>
    <n v="106.3"/>
    <n v="102.44"/>
    <n v="108.23999999999998"/>
    <n v="110.66000000000001"/>
    <n v="114.34"/>
    <n v="118.3"/>
    <n v="112.04"/>
    <n v="111.58000000000001"/>
    <n v="109.7"/>
    <n v="111.28"/>
    <n v="109.3"/>
    <n v="110.02000000000001"/>
    <n v="109.24000000000001"/>
    <n v="107.88"/>
    <n v="109.13999999999999"/>
    <n v="107.14000000000001"/>
    <n v="110.46"/>
    <n v="106.35999999999999"/>
    <n v="108.66"/>
    <n v="113.24000000000001"/>
    <n v="1492.82"/>
  </r>
  <r>
    <x v="2"/>
    <x v="10"/>
    <x v="9"/>
    <x v="117"/>
    <n v="8"/>
    <x v="320"/>
    <n v="116.86"/>
    <n v="112.3"/>
    <n v="110.48"/>
    <n v="105.32"/>
    <n v="108.88"/>
    <n v="161.18"/>
    <n v="107.02"/>
    <n v="103.02"/>
    <n v="108.17999999999999"/>
    <n v="110.7"/>
    <n v="114.46"/>
    <n v="118.33999999999999"/>
    <n v="112"/>
    <n v="112.17999999999999"/>
    <n v="110.5"/>
    <n v="111.91999999999999"/>
    <n v="109.43333333333334"/>
    <n v="110.47999999999999"/>
    <n v="109.58"/>
    <n v="108.14000000000001"/>
    <n v="109.38"/>
    <n v="107.5"/>
    <n v="110.34"/>
    <n v="106.66"/>
    <n v="108.82000000000001"/>
    <n v="113.8"/>
    <n v="1493.2"/>
  </r>
  <r>
    <x v="0"/>
    <x v="10"/>
    <x v="10"/>
    <x v="118"/>
    <n v="7"/>
    <x v="321"/>
    <n v="117.26"/>
    <n v="112.04"/>
    <n v="109.08"/>
    <n v="103.82"/>
    <n v="110.94"/>
    <n v="149.19999999999999"/>
    <n v="106.14"/>
    <n v="102.8"/>
    <n v="107.22"/>
    <n v="109.94000000000001"/>
    <n v="112.93999999999998"/>
    <n v="115.96000000000001"/>
    <n v="110.97999999999999"/>
    <n v="110.47999999999999"/>
    <n v="108.92"/>
    <n v="110.22"/>
    <n v="108.10000000000001"/>
    <n v="109.3"/>
    <n v="108.4"/>
    <n v="107.22"/>
    <n v="107.42"/>
    <n v="106.34"/>
    <n v="109.3"/>
    <n v="103.9"/>
    <n v="107.3"/>
    <n v="111.58000000000001"/>
    <n v="1473.0600000000004"/>
  </r>
  <r>
    <x v="1"/>
    <x v="10"/>
    <x v="10"/>
    <x v="118"/>
    <n v="7"/>
    <x v="322"/>
    <n v="117.72"/>
    <n v="112.28"/>
    <n v="109.14"/>
    <n v="103.48"/>
    <n v="110.84"/>
    <n v="153.72"/>
    <n v="106.02"/>
    <n v="102.56"/>
    <n v="107.42"/>
    <n v="110.16000000000001"/>
    <n v="113.2"/>
    <n v="116.66000000000001"/>
    <n v="111.26000000000002"/>
    <n v="110.58"/>
    <n v="108.9"/>
    <n v="110.3"/>
    <n v="108.30000000000001"/>
    <n v="109.34"/>
    <n v="108.47999999999999"/>
    <n v="107.34"/>
    <n v="107.66"/>
    <n v="106.38"/>
    <n v="109.72"/>
    <n v="104.47999999999999"/>
    <n v="107.58"/>
    <n v="111.92"/>
    <n v="1479.3600000000004"/>
  </r>
  <r>
    <x v="2"/>
    <x v="10"/>
    <x v="10"/>
    <x v="118"/>
    <n v="7"/>
    <x v="323"/>
    <n v="117.02"/>
    <n v="111.82"/>
    <n v="109.68"/>
    <n v="104.74"/>
    <n v="110.38"/>
    <n v="152.34"/>
    <n v="106.62"/>
    <n v="103.14"/>
    <n v="107.5"/>
    <n v="110.16000000000001"/>
    <n v="113.38"/>
    <n v="116.72"/>
    <n v="111.25999999999999"/>
    <n v="111.16000000000001"/>
    <n v="109.62"/>
    <n v="110.9"/>
    <n v="108.5"/>
    <n v="109.84"/>
    <n v="108.78"/>
    <n v="107.58"/>
    <n v="108.05999999999999"/>
    <n v="106.74000000000001"/>
    <n v="109.66"/>
    <n v="105.18000000000002"/>
    <n v="107.86000000000001"/>
    <n v="112.48000000000002"/>
    <n v="1479.18"/>
  </r>
  <r>
    <x v="0"/>
    <x v="10"/>
    <x v="11"/>
    <x v="119"/>
    <n v="6"/>
    <x v="324"/>
    <n v="116.24"/>
    <n v="110.98"/>
    <n v="108.22"/>
    <n v="103.74"/>
    <n v="111.16"/>
    <n v="135.68"/>
    <n v="106.14"/>
    <n v="102.86"/>
    <n v="106.28"/>
    <n v="109.33999999999999"/>
    <n v="112"/>
    <n v="113.67999999999999"/>
    <n v="110.17999999999999"/>
    <n v="109.73999999999998"/>
    <n v="108.28"/>
    <n v="109.5"/>
    <n v="106.96666666666665"/>
    <n v="108.58"/>
    <n v="107.83999999999999"/>
    <n v="106.64000000000001"/>
    <n v="105.88"/>
    <n v="105.7"/>
    <n v="107.97999999999999"/>
    <n v="102.86000000000001"/>
    <n v="106.23999999999998"/>
    <n v="110"/>
    <n v="1451.1799999999998"/>
  </r>
  <r>
    <x v="1"/>
    <x v="10"/>
    <x v="11"/>
    <x v="119"/>
    <n v="6"/>
    <x v="325"/>
    <n v="117.1"/>
    <n v="111.74"/>
    <n v="108.34"/>
    <n v="103.42"/>
    <n v="111.66"/>
    <n v="140.08000000000001"/>
    <n v="106.06"/>
    <n v="102.7"/>
    <n v="106.55999999999999"/>
    <n v="109.62"/>
    <n v="112.32000000000001"/>
    <n v="114.5"/>
    <n v="110.43999999999998"/>
    <n v="109.84"/>
    <n v="108.28"/>
    <n v="109.6"/>
    <n v="107.14999999999999"/>
    <n v="108.72"/>
    <n v="107.98000000000002"/>
    <n v="106.78"/>
    <n v="106.3"/>
    <n v="105.8"/>
    <n v="108.5"/>
    <n v="102.92"/>
    <n v="106.52000000000001"/>
    <n v="110.42"/>
    <n v="1459.4599999999998"/>
  </r>
  <r>
    <x v="2"/>
    <x v="10"/>
    <x v="11"/>
    <x v="119"/>
    <n v="6"/>
    <x v="326"/>
    <n v="116.16"/>
    <n v="111.46"/>
    <n v="108.88"/>
    <n v="104.44"/>
    <n v="111.34"/>
    <n v="139.13999999999999"/>
    <n v="106.46"/>
    <n v="103.24"/>
    <n v="106.66000000000001"/>
    <n v="109.56000000000002"/>
    <n v="112.4"/>
    <n v="114.47999999999999"/>
    <n v="110.4"/>
    <n v="110.25999999999999"/>
    <n v="108.88"/>
    <n v="110.04"/>
    <n v="107.33333333333333"/>
    <n v="109.1"/>
    <n v="108.17999999999999"/>
    <n v="106.97999999999999"/>
    <n v="106.81999999999998"/>
    <n v="106.12"/>
    <n v="108.62"/>
    <n v="103.25999999999999"/>
    <n v="106.8"/>
    <n v="110.9"/>
    <n v="1459.0400000000002"/>
  </r>
  <r>
    <x v="0"/>
    <x v="10"/>
    <x v="0"/>
    <x v="120"/>
    <n v="5"/>
    <x v="327"/>
    <n v="113.5"/>
    <n v="106.78"/>
    <n v="107.08"/>
    <n v="103.58"/>
    <n v="109.92"/>
    <n v="121.1"/>
    <n v="105.86"/>
    <n v="102.84"/>
    <n v="105.02000000000001"/>
    <n v="108.55999999999999"/>
    <n v="110.97999999999999"/>
    <n v="110.8"/>
    <n v="109.28"/>
    <n v="108.97999999999999"/>
    <n v="107.6"/>
    <n v="108.75999999999999"/>
    <n v="102.53333333333335"/>
    <n v="107.72"/>
    <n v="107.2"/>
    <n v="106.12"/>
    <n v="104.44000000000001"/>
    <n v="105.04"/>
    <n v="106.28"/>
    <n v="102.55999999999999"/>
    <n v="105.22"/>
    <n v="107.86000000000001"/>
    <n v="1419.6"/>
  </r>
  <r>
    <x v="1"/>
    <x v="10"/>
    <x v="0"/>
    <x v="120"/>
    <n v="5"/>
    <x v="328"/>
    <n v="114.52"/>
    <n v="107.56"/>
    <n v="107.16"/>
    <n v="103.36"/>
    <n v="110.44"/>
    <n v="124.98"/>
    <n v="105.9"/>
    <n v="102.74"/>
    <n v="105.36000000000001"/>
    <n v="108.88"/>
    <n v="111.32000000000001"/>
    <n v="111.62"/>
    <n v="109.55999999999999"/>
    <n v="109.11999999999998"/>
    <n v="107.64000000000001"/>
    <n v="108.9"/>
    <n v="103.55000000000001"/>
    <n v="107.88"/>
    <n v="107.35999999999999"/>
    <n v="106.26000000000002"/>
    <n v="104.63999999999999"/>
    <n v="105.12"/>
    <n v="106.66"/>
    <n v="102.7"/>
    <n v="105.41999999999999"/>
    <n v="108.28"/>
    <n v="1428"/>
  </r>
  <r>
    <x v="2"/>
    <x v="10"/>
    <x v="0"/>
    <x v="120"/>
    <n v="5"/>
    <x v="329"/>
    <n v="114.66"/>
    <n v="109.12"/>
    <n v="107.92"/>
    <n v="104.3"/>
    <n v="110.38"/>
    <n v="126.08"/>
    <n v="106.28"/>
    <n v="103.22"/>
    <n v="105.64000000000001"/>
    <n v="108.88"/>
    <n v="111.47999999999999"/>
    <n v="112.02000000000001"/>
    <n v="109.55999999999999"/>
    <n v="109.52000000000001"/>
    <n v="108.2"/>
    <n v="109.3"/>
    <n v="104.56666666666666"/>
    <n v="108.34"/>
    <n v="107.6"/>
    <n v="106.4"/>
    <n v="105.21999999999998"/>
    <n v="105.47999999999999"/>
    <n v="107.08"/>
    <n v="102.68000000000002"/>
    <n v="105.74000000000001"/>
    <n v="109.1"/>
    <n v="1433.7400000000002"/>
  </r>
  <r>
    <x v="0"/>
    <x v="10"/>
    <x v="1"/>
    <x v="121"/>
    <n v="4"/>
    <x v="330"/>
    <n v="111.56"/>
    <n v="105.62"/>
    <n v="105.94"/>
    <n v="103.8"/>
    <n v="109.08"/>
    <n v="109.92"/>
    <n v="105.38"/>
    <n v="103.06"/>
    <n v="103.8"/>
    <n v="107.67999999999999"/>
    <n v="110.03999999999999"/>
    <n v="108.55999999999999"/>
    <n v="108.2"/>
    <n v="108.25999999999999"/>
    <n v="107.08000000000001"/>
    <n v="108.1"/>
    <n v="100.5"/>
    <n v="106.82000000000001"/>
    <n v="106.55999999999999"/>
    <n v="105.6"/>
    <n v="104.42"/>
    <n v="104.46"/>
    <n v="105.24000000000001"/>
    <n v="102.7"/>
    <n v="104.84"/>
    <n v="106.4"/>
    <n v="1396.98"/>
  </r>
  <r>
    <x v="1"/>
    <x v="10"/>
    <x v="1"/>
    <x v="121"/>
    <n v="4"/>
    <x v="331"/>
    <n v="111.92"/>
    <n v="105.18"/>
    <n v="106.04"/>
    <n v="103.44"/>
    <n v="109.28"/>
    <n v="111.82"/>
    <n v="105.4"/>
    <n v="102.84"/>
    <n v="104.02000000000001"/>
    <n v="108"/>
    <n v="110.38000000000002"/>
    <n v="108.98000000000002"/>
    <n v="108.5"/>
    <n v="108.38"/>
    <n v="107.08"/>
    <n v="108.2"/>
    <n v="100.5"/>
    <n v="107"/>
    <n v="106.72"/>
    <n v="105.75999999999999"/>
    <n v="104.33999999999999"/>
    <n v="104.51999999999998"/>
    <n v="105.4"/>
    <n v="102.62"/>
    <n v="104.88"/>
    <n v="106.5"/>
    <n v="1400.26"/>
  </r>
  <r>
    <x v="2"/>
    <x v="10"/>
    <x v="1"/>
    <x v="121"/>
    <n v="4"/>
    <x v="332"/>
    <n v="111.66"/>
    <n v="105.6"/>
    <n v="106.76"/>
    <n v="104.2"/>
    <n v="109.22"/>
    <n v="113.48"/>
    <n v="105.84"/>
    <n v="103.26"/>
    <n v="104.4"/>
    <n v="108.00000000000003"/>
    <n v="110.46"/>
    <n v="109.33999999999999"/>
    <n v="108.6"/>
    <n v="108.74000000000001"/>
    <n v="107.55999999999999"/>
    <n v="108.55999999999999"/>
    <n v="100.5"/>
    <n v="107.42"/>
    <n v="106.92"/>
    <n v="105.88"/>
    <n v="104.34"/>
    <n v="104.83999999999999"/>
    <n v="105.66"/>
    <n v="102.48000000000002"/>
    <n v="104.96"/>
    <n v="107.13999999999999"/>
    <n v="1404.72"/>
  </r>
  <r>
    <x v="0"/>
    <x v="10"/>
    <x v="2"/>
    <x v="122"/>
    <n v="3"/>
    <x v="333"/>
    <n v="110.56"/>
    <n v="109.44"/>
    <n v="105.2"/>
    <n v="104.32"/>
    <n v="106.74"/>
    <n v="104.1"/>
    <n v="104.9"/>
    <n v="103.6"/>
    <n v="103.08"/>
    <n v="106.7"/>
    <n v="109.25999999999999"/>
    <n v="107.33999999999999"/>
    <n v="107.1"/>
    <n v="107.64000000000001"/>
    <n v="106.62"/>
    <n v="107.5"/>
    <n v="100.43333333333334"/>
    <n v="106.22"/>
    <n v="105.9"/>
    <n v="105.12"/>
    <n v="104.92"/>
    <n v="103.94000000000001"/>
    <n v="104.42"/>
    <n v="103.74000000000001"/>
    <n v="104.78"/>
    <n v="105.72"/>
    <n v="1387.3"/>
  </r>
  <r>
    <x v="1"/>
    <x v="10"/>
    <x v="2"/>
    <x v="122"/>
    <n v="3"/>
    <x v="334"/>
    <n v="110.98"/>
    <n v="108.78"/>
    <n v="105.22"/>
    <n v="103.96"/>
    <n v="107.38"/>
    <n v="104.92"/>
    <n v="104.82"/>
    <n v="103.3"/>
    <n v="103.08"/>
    <n v="107.02000000000001"/>
    <n v="109.54"/>
    <n v="107.55999999999999"/>
    <n v="107.3"/>
    <n v="107.72"/>
    <n v="106.66"/>
    <n v="107.58"/>
    <n v="100.45"/>
    <n v="106.3"/>
    <n v="106.03999999999999"/>
    <n v="105.24000000000001"/>
    <n v="104.94000000000001"/>
    <n v="103.97999999999999"/>
    <n v="104.55999999999999"/>
    <n v="103.46"/>
    <n v="104.82000000000001"/>
    <n v="105.73999999999998"/>
    <n v="1388.8999999999999"/>
  </r>
  <r>
    <x v="2"/>
    <x v="10"/>
    <x v="2"/>
    <x v="122"/>
    <n v="3"/>
    <x v="335"/>
    <n v="110.66"/>
    <n v="107.32"/>
    <n v="105.86"/>
    <n v="104.48"/>
    <n v="108.02"/>
    <n v="105.62"/>
    <n v="105.34"/>
    <n v="103.52"/>
    <n v="103.4"/>
    <n v="107.1"/>
    <n v="109.55999999999999"/>
    <n v="107.72"/>
    <n v="107.55999999999999"/>
    <n v="108.03999999999999"/>
    <n v="107.04"/>
    <n v="107.9"/>
    <n v="100.46666666666665"/>
    <n v="106.6"/>
    <n v="106.25999999999999"/>
    <n v="105.34"/>
    <n v="104.66"/>
    <n v="104.28"/>
    <n v="104.9"/>
    <n v="103.04"/>
    <n v="104.8"/>
    <n v="106.18000000000002"/>
    <n v="1390.34"/>
  </r>
  <r>
    <x v="0"/>
    <x v="10"/>
    <x v="3"/>
    <x v="123"/>
    <n v="2"/>
    <x v="336"/>
    <n v="110.4"/>
    <n v="112.6"/>
    <n v="104.84"/>
    <n v="104.92"/>
    <n v="104.26"/>
    <n v="103.14"/>
    <n v="104.9"/>
    <n v="104.44"/>
    <n v="102.78"/>
    <n v="105.84"/>
    <n v="108.6"/>
    <n v="106.8"/>
    <n v="106.12"/>
    <n v="107.08000000000001"/>
    <n v="106.12"/>
    <n v="106.94000000000001"/>
    <n v="100.40000000000002"/>
    <n v="106"/>
    <n v="105.38000000000002"/>
    <n v="104.7"/>
    <n v="104.52000000000001"/>
    <n v="103.67999999999999"/>
    <n v="103.96000000000001"/>
    <n v="104.38"/>
    <n v="104.52000000000001"/>
    <n v="105.35999999999999"/>
    <n v="1384.8399999999997"/>
  </r>
  <r>
    <x v="1"/>
    <x v="10"/>
    <x v="3"/>
    <x v="123"/>
    <n v="2"/>
    <x v="337"/>
    <n v="110.6"/>
    <n v="112.8"/>
    <n v="104.78"/>
    <n v="104.56"/>
    <n v="104.52"/>
    <n v="103.1"/>
    <n v="104.72"/>
    <n v="104.14"/>
    <n v="102.75999999999999"/>
    <n v="106.06000000000002"/>
    <n v="108.84"/>
    <n v="106.92"/>
    <n v="106.32000000000001"/>
    <n v="107.14000000000001"/>
    <n v="106.16"/>
    <n v="107"/>
    <n v="100.4"/>
    <n v="105.97999999999999"/>
    <n v="105.46"/>
    <n v="104.8"/>
    <n v="104.76000000000002"/>
    <n v="103.62"/>
    <n v="103.94000000000001"/>
    <n v="104.32000000000001"/>
    <n v="104.58"/>
    <n v="105.3"/>
    <n v="1385.56"/>
  </r>
  <r>
    <x v="2"/>
    <x v="10"/>
    <x v="3"/>
    <x v="123"/>
    <n v="2"/>
    <x v="338"/>
    <n v="109.92"/>
    <n v="110.8"/>
    <n v="105.24"/>
    <n v="105"/>
    <n v="105.56"/>
    <n v="102.8"/>
    <n v="105.04"/>
    <n v="104.22"/>
    <n v="102.94000000000001"/>
    <n v="106.16"/>
    <n v="108.8"/>
    <n v="106.9"/>
    <n v="106.54"/>
    <n v="107.44000000000001"/>
    <n v="106.54"/>
    <n v="107.32000000000001"/>
    <n v="100.40000000000002"/>
    <n v="106.14000000000001"/>
    <n v="105.64000000000001"/>
    <n v="104.88"/>
    <n v="104.75999999999999"/>
    <n v="103.85999999999999"/>
    <n v="104.16"/>
    <n v="104"/>
    <n v="104.63999999999999"/>
    <n v="105.64000000000001"/>
    <n v="1384.6000000000001"/>
  </r>
  <r>
    <x v="0"/>
    <x v="10"/>
    <x v="4"/>
    <x v="124"/>
    <n v="1"/>
    <x v="339"/>
    <n v="108.86"/>
    <n v="111.64"/>
    <n v="104.46"/>
    <n v="104.96"/>
    <n v="103.3"/>
    <n v="102.86"/>
    <n v="105.58"/>
    <n v="105.52"/>
    <n v="102.59999999999998"/>
    <n v="105.17999999999999"/>
    <n v="107.72"/>
    <n v="106.1"/>
    <n v="105.4"/>
    <n v="106.47999999999999"/>
    <n v="105.62"/>
    <n v="106.35999999999999"/>
    <n v="100.33333333333333"/>
    <n v="105.66"/>
    <n v="104.96"/>
    <n v="104.24000000000001"/>
    <n v="103.6"/>
    <n v="103.33999999999999"/>
    <n v="103.74000000000001"/>
    <n v="104.47999999999999"/>
    <n v="104.05999999999999"/>
    <n v="104.84"/>
    <n v="1378.48"/>
  </r>
  <r>
    <x v="1"/>
    <x v="10"/>
    <x v="4"/>
    <x v="124"/>
    <n v="1"/>
    <x v="340"/>
    <n v="109.64"/>
    <n v="112.58"/>
    <n v="104.46"/>
    <n v="104.84"/>
    <n v="103.24"/>
    <n v="103.12"/>
    <n v="105.42"/>
    <n v="105.18"/>
    <n v="102.54"/>
    <n v="105.32000000000001"/>
    <n v="108.03999999999999"/>
    <n v="106.32000000000001"/>
    <n v="105.52000000000001"/>
    <n v="106.55999999999999"/>
    <n v="105.66"/>
    <n v="106.43999999999998"/>
    <n v="100.35"/>
    <n v="105.75999999999999"/>
    <n v="105.04"/>
    <n v="104.34"/>
    <n v="103.78000000000002"/>
    <n v="103.38"/>
    <n v="103.75999999999999"/>
    <n v="104.44000000000001"/>
    <n v="104.14000000000001"/>
    <n v="104.88"/>
    <n v="1380.9799999999998"/>
  </r>
  <r>
    <x v="2"/>
    <x v="10"/>
    <x v="4"/>
    <x v="124"/>
    <n v="1"/>
    <x v="341"/>
    <n v="109.58"/>
    <n v="111.96"/>
    <n v="104.86"/>
    <n v="105.4"/>
    <n v="103.92"/>
    <n v="102.82"/>
    <n v="105.4"/>
    <n v="105.16"/>
    <n v="102.84"/>
    <n v="105.42"/>
    <n v="108.1"/>
    <n v="106.46"/>
    <n v="105.78"/>
    <n v="106.9"/>
    <n v="106.02000000000001"/>
    <n v="106.78000000000002"/>
    <n v="100.36666666666667"/>
    <n v="105.9"/>
    <n v="105.2"/>
    <n v="104.46000000000001"/>
    <n v="104.05999999999999"/>
    <n v="103.6"/>
    <n v="103.91999999999999"/>
    <n v="104.43999999999998"/>
    <n v="104.32000000000001"/>
    <n v="105.28"/>
    <n v="1382.13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3E4F4-05E3-411A-8625-74C00DCEF5C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:AE19" firstHeaderRow="0" firstDataRow="1" firstDataCol="1" rowPageCount="3" colPageCount="1"/>
  <pivotFields count="33">
    <pivotField axis="axisPage" showAll="0">
      <items count="4">
        <item x="0"/>
        <item x="2"/>
        <item x="1"/>
        <item t="default"/>
      </items>
    </pivotField>
    <pivotField axis="axisPage" multipleItemSelectionAllowed="1" showAll="0">
      <items count="12">
        <item h="1" x="10"/>
        <item h="1" x="9"/>
        <item h="1" x="8"/>
        <item h="1" x="7"/>
        <item h="1" x="6"/>
        <item h="1" x="5"/>
        <item h="1" x="4"/>
        <item h="1" x="3"/>
        <item h="1" x="2"/>
        <item x="1"/>
        <item x="0"/>
        <item t="default"/>
      </items>
    </pivotField>
    <pivotField axis="axisPage" showAll="0">
      <items count="14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x="12"/>
        <item t="default"/>
      </items>
    </pivotField>
    <pivotField axis="axisRow" showAll="0">
      <items count="126">
        <item x="121"/>
        <item x="117"/>
        <item x="112"/>
        <item x="123"/>
        <item x="124"/>
        <item x="118"/>
        <item x="119"/>
        <item x="122"/>
        <item x="120"/>
        <item x="114"/>
        <item x="113"/>
        <item x="115"/>
        <item x="116"/>
        <item x="108"/>
        <item x="104"/>
        <item x="100"/>
        <item x="110"/>
        <item x="111"/>
        <item x="105"/>
        <item x="106"/>
        <item x="109"/>
        <item x="107"/>
        <item x="101"/>
        <item x="102"/>
        <item x="103"/>
        <item x="96"/>
        <item x="92"/>
        <item x="88"/>
        <item x="98"/>
        <item x="99"/>
        <item x="93"/>
        <item x="94"/>
        <item x="97"/>
        <item x="95"/>
        <item x="89"/>
        <item x="90"/>
        <item x="91"/>
        <item x="84"/>
        <item x="80"/>
        <item x="76"/>
        <item x="86"/>
        <item x="87"/>
        <item x="81"/>
        <item x="82"/>
        <item x="85"/>
        <item x="83"/>
        <item x="77"/>
        <item x="78"/>
        <item x="79"/>
        <item x="72"/>
        <item x="68"/>
        <item x="64"/>
        <item x="74"/>
        <item x="75"/>
        <item x="69"/>
        <item x="70"/>
        <item x="73"/>
        <item x="71"/>
        <item x="65"/>
        <item x="66"/>
        <item x="67"/>
        <item x="60"/>
        <item x="56"/>
        <item x="52"/>
        <item x="62"/>
        <item x="63"/>
        <item x="57"/>
        <item x="58"/>
        <item x="61"/>
        <item x="59"/>
        <item x="53"/>
        <item x="54"/>
        <item x="55"/>
        <item x="45"/>
        <item x="41"/>
        <item x="50"/>
        <item x="51"/>
        <item x="46"/>
        <item x="47"/>
        <item x="49"/>
        <item x="48"/>
        <item x="42"/>
        <item x="43"/>
        <item x="44"/>
        <item x="37"/>
        <item x="33"/>
        <item x="29"/>
        <item x="39"/>
        <item x="40"/>
        <item x="34"/>
        <item x="35"/>
        <item x="38"/>
        <item x="36"/>
        <item x="30"/>
        <item x="31"/>
        <item x="32"/>
        <item x="25"/>
        <item x="21"/>
        <item x="17"/>
        <item x="27"/>
        <item x="28"/>
        <item x="22"/>
        <item x="23"/>
        <item x="26"/>
        <item x="24"/>
        <item x="18"/>
        <item x="19"/>
        <item x="20"/>
        <item h="1" x="13"/>
        <item x="11"/>
        <item x="10"/>
        <item x="9"/>
        <item x="8"/>
        <item x="7"/>
        <item x="6"/>
        <item x="5"/>
        <item h="1" x="15"/>
        <item h="1" x="16"/>
        <item h="1" x="14"/>
        <item h="1" x="12"/>
        <item x="4"/>
        <item x="3"/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109"/>
    </i>
    <i>
      <x v="110"/>
    </i>
    <i>
      <x v="111"/>
    </i>
    <i>
      <x v="112"/>
    </i>
    <i>
      <x v="113"/>
    </i>
    <i>
      <x v="114"/>
    </i>
    <i>
      <x v="115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3">
    <pageField fld="2" hier="-1"/>
    <pageField fld="0" item="1" hier="-1"/>
    <pageField fld="1" hier="-1"/>
  </pageFields>
  <dataFields count="13">
    <dataField name="Sum of Cereals and products" fld="5" baseField="0" baseItem="0"/>
    <dataField name="Sum of Meat and fish" fld="6" baseField="0" baseItem="0"/>
    <dataField name="Sum of Egg" fld="7" baseField="0" baseItem="0"/>
    <dataField name="Sum of Milk and products" fld="8" baseField="0" baseItem="0"/>
    <dataField name="Sum of Oils and fats" fld="9" baseField="0" baseItem="0"/>
    <dataField name="Sum of Fruits" fld="10" baseField="0" baseItem="0"/>
    <dataField name="Sum of Vegetables" fld="11" baseField="0" baseItem="0"/>
    <dataField name="Sum of Pulses and products" fld="12" baseField="0" baseItem="0"/>
    <dataField name="Sum of Sugar and Confectionery" fld="13" baseField="0" baseItem="0"/>
    <dataField name="Sum of Spices" fld="14" baseField="0" baseItem="0"/>
    <dataField name="Sum of Non-alcoholic beverages" fld="15" baseField="0" baseItem="0"/>
    <dataField name="Sum of Prepared meals, scks, sweets etc." fld="16" baseField="0" baseItem="0"/>
    <dataField name="Sum of Food and beverages" fld="17" baseField="0" baseItem="0"/>
  </dataFields>
  <formats count="8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12">
            <x v="109"/>
            <x v="110"/>
            <x v="111"/>
            <x v="112"/>
            <x v="113"/>
            <x v="114"/>
            <x v="115"/>
            <x v="120"/>
            <x v="121"/>
            <x v="122"/>
            <x v="123"/>
            <x v="124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235A-9F50-4B3B-A9E5-E327D0070CA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8" firstHeaderRow="1" firstDataRow="1" firstDataCol="1" rowPageCount="3" colPageCount="1"/>
  <pivotFields count="33">
    <pivotField axis="axisPage" showAll="0">
      <items count="4">
        <item x="0"/>
        <item x="2"/>
        <item x="1"/>
        <item t="default"/>
      </items>
    </pivotField>
    <pivotField axis="axisPage" multipleItemSelectionAllowed="1" showAll="0">
      <items count="12">
        <item h="1" x="10"/>
        <item h="1" x="9"/>
        <item h="1" x="8"/>
        <item h="1" x="7"/>
        <item h="1" x="6"/>
        <item h="1" x="5"/>
        <item h="1" x="4"/>
        <item h="1" x="3"/>
        <item h="1" x="2"/>
        <item x="1"/>
        <item x="0"/>
        <item t="default"/>
      </items>
    </pivotField>
    <pivotField axis="axisPage" showAll="0">
      <items count="14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x="12"/>
        <item t="default"/>
      </items>
    </pivotField>
    <pivotField axis="axisRow" showAll="0">
      <items count="126">
        <item x="121"/>
        <item x="117"/>
        <item x="112"/>
        <item x="123"/>
        <item x="124"/>
        <item x="118"/>
        <item x="119"/>
        <item x="122"/>
        <item x="120"/>
        <item x="114"/>
        <item x="113"/>
        <item x="115"/>
        <item x="116"/>
        <item x="108"/>
        <item x="104"/>
        <item x="100"/>
        <item x="110"/>
        <item x="111"/>
        <item x="105"/>
        <item x="106"/>
        <item x="109"/>
        <item x="107"/>
        <item x="101"/>
        <item x="102"/>
        <item x="103"/>
        <item x="96"/>
        <item x="92"/>
        <item x="88"/>
        <item x="98"/>
        <item x="99"/>
        <item x="93"/>
        <item x="94"/>
        <item x="97"/>
        <item x="95"/>
        <item x="89"/>
        <item x="90"/>
        <item x="91"/>
        <item x="84"/>
        <item x="80"/>
        <item x="76"/>
        <item x="86"/>
        <item x="87"/>
        <item x="81"/>
        <item x="82"/>
        <item x="85"/>
        <item x="83"/>
        <item x="77"/>
        <item x="78"/>
        <item x="79"/>
        <item x="72"/>
        <item x="68"/>
        <item x="64"/>
        <item x="74"/>
        <item x="75"/>
        <item x="69"/>
        <item x="70"/>
        <item x="73"/>
        <item x="71"/>
        <item x="65"/>
        <item x="66"/>
        <item x="67"/>
        <item x="60"/>
        <item x="56"/>
        <item x="52"/>
        <item x="62"/>
        <item x="63"/>
        <item x="57"/>
        <item x="58"/>
        <item x="61"/>
        <item x="59"/>
        <item x="53"/>
        <item x="54"/>
        <item x="55"/>
        <item x="45"/>
        <item x="41"/>
        <item x="50"/>
        <item x="51"/>
        <item x="46"/>
        <item x="47"/>
        <item x="49"/>
        <item x="48"/>
        <item x="42"/>
        <item x="43"/>
        <item x="44"/>
        <item x="37"/>
        <item x="33"/>
        <item x="29"/>
        <item x="39"/>
        <item x="40"/>
        <item x="34"/>
        <item x="35"/>
        <item x="38"/>
        <item x="36"/>
        <item x="30"/>
        <item x="31"/>
        <item x="32"/>
        <item x="25"/>
        <item x="21"/>
        <item x="17"/>
        <item x="27"/>
        <item x="28"/>
        <item x="22"/>
        <item x="23"/>
        <item x="26"/>
        <item x="24"/>
        <item x="18"/>
        <item x="19"/>
        <item x="20"/>
        <item h="1" x="13"/>
        <item x="11"/>
        <item x="10"/>
        <item x="9"/>
        <item x="8"/>
        <item x="7"/>
        <item x="6"/>
        <item x="5"/>
        <item h="1" x="15"/>
        <item h="1" x="16"/>
        <item h="1" x="14"/>
        <item h="1" x="12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 v="109"/>
    </i>
    <i>
      <x v="110"/>
    </i>
    <i>
      <x v="111"/>
    </i>
    <i>
      <x v="112"/>
    </i>
    <i>
      <x v="113"/>
    </i>
    <i>
      <x v="114"/>
    </i>
    <i>
      <x v="115"/>
    </i>
    <i>
      <x v="120"/>
    </i>
    <i>
      <x v="121"/>
    </i>
    <i>
      <x v="122"/>
    </i>
    <i>
      <x v="123"/>
    </i>
    <i>
      <x v="124"/>
    </i>
    <i t="grand">
      <x/>
    </i>
  </rowItems>
  <colItems count="1">
    <i/>
  </colItems>
  <pageFields count="3">
    <pageField fld="2" hier="-1"/>
    <pageField fld="0" item="1" hier="-1"/>
    <pageField fld="1" hier="-1"/>
  </pageFields>
  <dataFields count="1">
    <dataField name="Sum of Food and Beverages2" fld="32" baseField="0" baseItem="0"/>
  </dataFields>
  <formats count="8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12">
            <x v="109"/>
            <x v="110"/>
            <x v="111"/>
            <x v="112"/>
            <x v="113"/>
            <x v="114"/>
            <x v="115"/>
            <x v="120"/>
            <x v="121"/>
            <x v="122"/>
            <x v="123"/>
            <x v="124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19D0-698D-4889-856B-D165EAF9D8FE}">
  <dimension ref="B1:AA76"/>
  <sheetViews>
    <sheetView tabSelected="1" zoomScale="52" workbookViewId="0">
      <selection activeCell="AD67" sqref="AD67"/>
    </sheetView>
  </sheetViews>
  <sheetFormatPr defaultRowHeight="14.4" x14ac:dyDescent="0.3"/>
  <sheetData>
    <row r="1" spans="2:27" x14ac:dyDescent="0.3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2:27" x14ac:dyDescent="0.3">
      <c r="B2" s="36"/>
      <c r="C2" s="45" t="s">
        <v>115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36"/>
      <c r="AA2" s="36"/>
    </row>
    <row r="3" spans="2:27" x14ac:dyDescent="0.3">
      <c r="B3" s="36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36"/>
      <c r="AA3" s="36"/>
    </row>
    <row r="4" spans="2:27" x14ac:dyDescent="0.3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2:27" x14ac:dyDescent="0.3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2:27" x14ac:dyDescent="0.3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2:27" x14ac:dyDescent="0.3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2:27" x14ac:dyDescent="0.3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2:27" x14ac:dyDescent="0.3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2:27" x14ac:dyDescent="0.3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2:27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2:27" x14ac:dyDescent="0.3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2:27" x14ac:dyDescent="0.3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2:27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2:27" x14ac:dyDescent="0.3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2:27" x14ac:dyDescent="0.3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2:27" x14ac:dyDescent="0.3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2:27" x14ac:dyDescent="0.3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2:27" x14ac:dyDescent="0.3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2:27" x14ac:dyDescent="0.3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2:27" x14ac:dyDescent="0.3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2:27" x14ac:dyDescent="0.3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x14ac:dyDescent="0.3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x14ac:dyDescent="0.3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x14ac:dyDescent="0.3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x14ac:dyDescent="0.3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x14ac:dyDescent="0.3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x14ac:dyDescent="0.3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x14ac:dyDescent="0.3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x14ac:dyDescent="0.3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x14ac:dyDescent="0.3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x14ac:dyDescent="0.3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x14ac:dyDescent="0.3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x14ac:dyDescent="0.3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x14ac:dyDescent="0.3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x14ac:dyDescent="0.3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2:27" x14ac:dyDescent="0.3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2:27" x14ac:dyDescent="0.3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2:27" x14ac:dyDescent="0.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2:27" x14ac:dyDescent="0.3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2:27" x14ac:dyDescent="0.3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2:27" x14ac:dyDescent="0.3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2:27" x14ac:dyDescent="0.3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2:27" x14ac:dyDescent="0.3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2:27" x14ac:dyDescent="0.3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2:27" x14ac:dyDescent="0.3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2:27" x14ac:dyDescent="0.3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2:27" x14ac:dyDescent="0.3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2:27" x14ac:dyDescent="0.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2:27" x14ac:dyDescent="0.3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2:27" x14ac:dyDescent="0.3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2:27" x14ac:dyDescent="0.3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2:27" x14ac:dyDescent="0.3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2:27" x14ac:dyDescent="0.3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 x14ac:dyDescent="0.3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2:27" x14ac:dyDescent="0.3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2:27" x14ac:dyDescent="0.3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spans="2:27" x14ac:dyDescent="0.3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 x14ac:dyDescent="0.3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2:27" x14ac:dyDescent="0.3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2:27" x14ac:dyDescent="0.3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spans="2:27" x14ac:dyDescent="0.3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2:27" x14ac:dyDescent="0.3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spans="2:27" x14ac:dyDescent="0.3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spans="2:27" x14ac:dyDescent="0.3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spans="2:27" x14ac:dyDescent="0.3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spans="2:27" x14ac:dyDescent="0.3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spans="2:27" x14ac:dyDescent="0.3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spans="2:27" x14ac:dyDescent="0.3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spans="2:27" x14ac:dyDescent="0.3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spans="2:27" x14ac:dyDescent="0.3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spans="2:27" x14ac:dyDescent="0.3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</sheetData>
  <mergeCells count="1">
    <mergeCell ref="C2:Y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318B-F371-4FA2-AC49-C4D158ED507B}">
  <dimension ref="A1:AL373"/>
  <sheetViews>
    <sheetView workbookViewId="0"/>
  </sheetViews>
  <sheetFormatPr defaultRowHeight="14.4" x14ac:dyDescent="0.3"/>
  <cols>
    <col min="1" max="1" width="11.21875" bestFit="1" customWidth="1"/>
    <col min="2" max="2" width="8.88671875" style="1"/>
    <col min="3" max="3" width="10" bestFit="1" customWidth="1"/>
    <col min="4" max="4" width="14.77734375" bestFit="1" customWidth="1"/>
    <col min="5" max="5" width="13.5546875" style="1" bestFit="1" customWidth="1"/>
    <col min="6" max="6" width="20.44140625" style="1" bestFit="1" customWidth="1"/>
    <col min="7" max="7" width="14.33203125" style="1" bestFit="1" customWidth="1"/>
    <col min="8" max="8" width="12" style="1" bestFit="1" customWidth="1"/>
    <col min="9" max="9" width="17.77734375" style="1" bestFit="1" customWidth="1"/>
    <col min="10" max="10" width="13.21875" style="1" bestFit="1" customWidth="1"/>
    <col min="11" max="11" width="12" style="1" bestFit="1" customWidth="1"/>
    <col min="12" max="12" width="12.109375" style="1" bestFit="1" customWidth="1"/>
    <col min="13" max="13" width="19.44140625" style="1" bestFit="1" customWidth="1"/>
    <col min="14" max="14" width="23.33203125" style="1" bestFit="1" customWidth="1"/>
    <col min="15" max="15" width="11.44140625" style="1" customWidth="1"/>
    <col min="16" max="16" width="23.6640625" style="1" bestFit="1" customWidth="1"/>
    <col min="17" max="17" width="30.5546875" style="1" bestFit="1" customWidth="1"/>
    <col min="18" max="18" width="19.6640625" style="1" bestFit="1" customWidth="1"/>
    <col min="19" max="19" width="26.88671875" style="1" bestFit="1" customWidth="1"/>
    <col min="20" max="20" width="12.77734375" style="1" customWidth="1"/>
    <col min="21" max="21" width="12.6640625" style="1" customWidth="1"/>
    <col min="22" max="22" width="21.6640625" style="1" bestFit="1" customWidth="1"/>
    <col min="23" max="23" width="12.77734375" style="1" customWidth="1"/>
    <col min="24" max="24" width="13.88671875" style="1" bestFit="1" customWidth="1"/>
    <col min="25" max="25" width="28" style="1" bestFit="1" customWidth="1"/>
    <col min="26" max="26" width="11.77734375" style="1" customWidth="1"/>
    <col min="27" max="27" width="30.33203125" style="1" bestFit="1" customWidth="1"/>
    <col min="28" max="28" width="28.109375" style="1" bestFit="1" customWidth="1"/>
    <col min="29" max="29" width="11.33203125" style="1" bestFit="1" customWidth="1"/>
    <col min="30" max="30" width="24.21875" style="1" bestFit="1" customWidth="1"/>
    <col min="31" max="31" width="17" style="1" bestFit="1" customWidth="1"/>
    <col min="32" max="32" width="14.33203125" style="1" bestFit="1" customWidth="1"/>
    <col min="33" max="33" width="18.109375" style="1" bestFit="1" customWidth="1"/>
    <col min="34" max="34" width="30.109375" style="1" bestFit="1" customWidth="1"/>
    <col min="35" max="35" width="24.6640625" style="1" bestFit="1" customWidth="1"/>
    <col min="36" max="36" width="13.44140625" style="1" customWidth="1"/>
    <col min="37" max="37" width="17.109375" style="1" bestFit="1" customWidth="1"/>
    <col min="38" max="38" width="13.44140625" style="1" customWidth="1"/>
  </cols>
  <sheetData>
    <row r="1" spans="1:38" s="13" customFormat="1" x14ac:dyDescent="0.3">
      <c r="A1" s="13" t="s">
        <v>0</v>
      </c>
      <c r="B1" s="21" t="s">
        <v>1</v>
      </c>
      <c r="C1" s="13" t="s">
        <v>2</v>
      </c>
      <c r="D1" s="13" t="s">
        <v>64</v>
      </c>
      <c r="E1" s="21" t="s">
        <v>46</v>
      </c>
      <c r="F1" s="21" t="s">
        <v>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44</v>
      </c>
      <c r="R1" s="21" t="s">
        <v>14</v>
      </c>
      <c r="S1" s="21" t="s">
        <v>15</v>
      </c>
      <c r="T1" s="21" t="s">
        <v>16</v>
      </c>
      <c r="U1" s="21" t="s">
        <v>17</v>
      </c>
      <c r="V1" s="21" t="s">
        <v>18</v>
      </c>
      <c r="W1" s="21" t="s">
        <v>19</v>
      </c>
      <c r="X1" s="21" t="s">
        <v>20</v>
      </c>
      <c r="Y1" s="21" t="s">
        <v>21</v>
      </c>
      <c r="Z1" s="21" t="s">
        <v>22</v>
      </c>
      <c r="AA1" s="21" t="s">
        <v>23</v>
      </c>
      <c r="AB1" s="21" t="s">
        <v>24</v>
      </c>
      <c r="AC1" s="21" t="s">
        <v>25</v>
      </c>
      <c r="AD1" s="21" t="s">
        <v>45</v>
      </c>
      <c r="AE1" s="21" t="s">
        <v>26</v>
      </c>
      <c r="AF1" s="21" t="s">
        <v>27</v>
      </c>
      <c r="AG1" s="22" t="s">
        <v>49</v>
      </c>
      <c r="AH1" s="22" t="s">
        <v>15</v>
      </c>
      <c r="AI1" s="22" t="s">
        <v>50</v>
      </c>
      <c r="AJ1" s="22" t="s">
        <v>19</v>
      </c>
      <c r="AK1" s="22" t="s">
        <v>51</v>
      </c>
      <c r="AL1" s="22" t="s">
        <v>52</v>
      </c>
    </row>
    <row r="2" spans="1:38" x14ac:dyDescent="0.3">
      <c r="A2" t="s">
        <v>28</v>
      </c>
      <c r="B2" s="1">
        <v>2023</v>
      </c>
      <c r="C2" t="s">
        <v>35</v>
      </c>
      <c r="D2" t="str">
        <f>CONCATENATE(B2,"-",C2)</f>
        <v>2023-May</v>
      </c>
      <c r="E2" s="1">
        <v>5</v>
      </c>
      <c r="F2" s="1">
        <v>173.8666667</v>
      </c>
      <c r="G2" s="1">
        <v>215.06666670000001</v>
      </c>
      <c r="H2" s="1">
        <v>173.6333333</v>
      </c>
      <c r="I2" s="1">
        <v>179.5</v>
      </c>
      <c r="J2" s="1">
        <v>169.2333333</v>
      </c>
      <c r="K2" s="1">
        <v>172.33333329999999</v>
      </c>
      <c r="L2" s="1">
        <v>164.9</v>
      </c>
      <c r="M2" s="1">
        <v>175.8</v>
      </c>
      <c r="N2" s="1">
        <v>122.9333333</v>
      </c>
      <c r="O2" s="1">
        <v>216.96666666666667</v>
      </c>
      <c r="P2" s="1">
        <v>172.66666666666666</v>
      </c>
      <c r="Q2" s="1">
        <v>194.33333333333334</v>
      </c>
      <c r="R2" s="1">
        <v>179.66666666666666</v>
      </c>
      <c r="S2" s="1">
        <v>201.70000000000002</v>
      </c>
      <c r="T2" s="1">
        <v>186.6</v>
      </c>
      <c r="U2" s="1">
        <v>178.56666666666669</v>
      </c>
      <c r="V2" s="1">
        <v>185.43333333333331</v>
      </c>
      <c r="W2" s="1">
        <v>175.6</v>
      </c>
      <c r="X2" s="1">
        <v>182.9</v>
      </c>
      <c r="Y2" s="1">
        <v>175.0333333333333</v>
      </c>
      <c r="Z2" s="1">
        <v>185.23333333333335</v>
      </c>
      <c r="AA2" s="1">
        <v>164.96666666666667</v>
      </c>
      <c r="AB2" s="1">
        <v>171.4</v>
      </c>
      <c r="AC2" s="1">
        <v>177.4</v>
      </c>
      <c r="AD2" s="1">
        <v>185.23333333333335</v>
      </c>
      <c r="AE2" s="1">
        <v>175.6</v>
      </c>
      <c r="AF2" s="1">
        <v>179.03333333333333</v>
      </c>
      <c r="AG2" s="1">
        <f>SUM(F2:R2)</f>
        <v>2310.8999999333332</v>
      </c>
      <c r="AH2" s="1">
        <f>SUM(S2)</f>
        <v>201.70000000000002</v>
      </c>
      <c r="AI2" s="1">
        <f>SUM(T2:V2)</f>
        <v>550.6</v>
      </c>
      <c r="AJ2" s="1">
        <f>SUM(W2)</f>
        <v>175.6</v>
      </c>
      <c r="AK2" s="1">
        <f>SUM(X2)</f>
        <v>182.9</v>
      </c>
      <c r="AL2" s="1">
        <f>SUM(Y2:AE2)</f>
        <v>1234.8666666666666</v>
      </c>
    </row>
    <row r="3" spans="1:38" x14ac:dyDescent="0.3">
      <c r="A3" t="s">
        <v>30</v>
      </c>
      <c r="B3" s="1">
        <v>2023</v>
      </c>
      <c r="C3" t="s">
        <v>35</v>
      </c>
      <c r="D3" t="str">
        <f t="shared" ref="D3:D66" si="0">CONCATENATE(B3,"-",C3)</f>
        <v>2023-May</v>
      </c>
      <c r="E3" s="1">
        <v>5</v>
      </c>
      <c r="F3" s="1">
        <v>174.2</v>
      </c>
      <c r="G3" s="1">
        <v>216.85</v>
      </c>
      <c r="H3" s="1">
        <v>174.95</v>
      </c>
      <c r="I3" s="1">
        <v>179.45</v>
      </c>
      <c r="J3" s="1">
        <v>167.2</v>
      </c>
      <c r="K3" s="1">
        <v>174</v>
      </c>
      <c r="L3" s="1">
        <v>173</v>
      </c>
      <c r="M3" s="1">
        <v>176.25</v>
      </c>
      <c r="N3" s="1">
        <v>123.45</v>
      </c>
      <c r="O3" s="1">
        <v>214.95</v>
      </c>
      <c r="P3" s="1">
        <v>169.65</v>
      </c>
      <c r="Q3" s="1">
        <v>195.95</v>
      </c>
      <c r="R3" s="1">
        <v>181.1</v>
      </c>
      <c r="S3" s="1">
        <v>202.6</v>
      </c>
      <c r="T3" s="1">
        <v>184.3</v>
      </c>
      <c r="U3" s="1">
        <v>173.89999999999998</v>
      </c>
      <c r="V3" s="1">
        <v>182.75</v>
      </c>
      <c r="W3" s="1">
        <v>175.6</v>
      </c>
      <c r="X3" s="1">
        <v>183.10000000000002</v>
      </c>
      <c r="Y3" s="1">
        <v>172.64999999999998</v>
      </c>
      <c r="Z3" s="1">
        <v>183.95</v>
      </c>
      <c r="AA3" s="1">
        <v>162.60000000000002</v>
      </c>
      <c r="AB3" s="1">
        <v>170.2</v>
      </c>
      <c r="AC3" s="1">
        <v>175.95</v>
      </c>
      <c r="AD3" s="1">
        <v>185.39999999999998</v>
      </c>
      <c r="AE3" s="1">
        <v>173.64999999999998</v>
      </c>
      <c r="AF3" s="1">
        <v>178.64999999999998</v>
      </c>
      <c r="AG3" s="1">
        <f t="shared" ref="AG3:AG66" si="1">SUM(F3:R3)</f>
        <v>2321</v>
      </c>
      <c r="AH3" s="1">
        <f t="shared" ref="AH3:AH66" si="2">SUM(S3)</f>
        <v>202.6</v>
      </c>
      <c r="AI3" s="1">
        <f t="shared" ref="AI3:AI66" si="3">SUM(T3:V3)</f>
        <v>540.95000000000005</v>
      </c>
      <c r="AJ3" s="1">
        <f t="shared" ref="AJ3:AJ66" si="4">SUM(W3)</f>
        <v>175.6</v>
      </c>
      <c r="AK3" s="1">
        <f t="shared" ref="AK3:AK66" si="5">SUM(X3)</f>
        <v>183.10000000000002</v>
      </c>
      <c r="AL3" s="1">
        <f t="shared" ref="AL3:AL66" si="6">SUM(Y3:AE3)</f>
        <v>1224.4000000000001</v>
      </c>
    </row>
    <row r="4" spans="1:38" x14ac:dyDescent="0.3">
      <c r="A4" t="s">
        <v>31</v>
      </c>
      <c r="B4" s="1">
        <v>2023</v>
      </c>
      <c r="C4" t="s">
        <v>35</v>
      </c>
      <c r="D4" t="str">
        <f t="shared" si="0"/>
        <v>2023-May</v>
      </c>
      <c r="E4" s="1">
        <v>5</v>
      </c>
      <c r="F4" s="1">
        <v>173.7</v>
      </c>
      <c r="G4" s="1">
        <v>214.3</v>
      </c>
      <c r="H4" s="1">
        <v>173.2</v>
      </c>
      <c r="I4" s="1">
        <v>179.5</v>
      </c>
      <c r="J4" s="1">
        <v>170</v>
      </c>
      <c r="K4" s="1">
        <v>172.2</v>
      </c>
      <c r="L4" s="1">
        <v>161</v>
      </c>
      <c r="M4" s="1">
        <v>175.6</v>
      </c>
      <c r="N4" s="1">
        <v>122.7</v>
      </c>
      <c r="O4" s="1">
        <v>218</v>
      </c>
      <c r="P4" s="1">
        <v>173.4</v>
      </c>
      <c r="Q4" s="1">
        <v>194.2</v>
      </c>
      <c r="R4" s="1">
        <v>179.1</v>
      </c>
      <c r="S4" s="1">
        <v>201</v>
      </c>
      <c r="T4" s="1">
        <v>187.3</v>
      </c>
      <c r="U4" s="1">
        <v>179.7</v>
      </c>
      <c r="V4" s="1">
        <v>186.2</v>
      </c>
      <c r="W4" s="1">
        <v>175.6</v>
      </c>
      <c r="X4" s="1">
        <v>182.8</v>
      </c>
      <c r="Y4" s="1">
        <v>175.2</v>
      </c>
      <c r="Z4" s="1">
        <v>185.7</v>
      </c>
      <c r="AA4" s="1">
        <v>164.8</v>
      </c>
      <c r="AB4" s="1">
        <v>171.2</v>
      </c>
      <c r="AC4" s="1">
        <v>177.1</v>
      </c>
      <c r="AD4" s="1">
        <v>185.2</v>
      </c>
      <c r="AE4" s="1">
        <v>175.7</v>
      </c>
      <c r="AF4" s="1">
        <v>179.1</v>
      </c>
      <c r="AG4" s="1">
        <f t="shared" si="1"/>
        <v>2306.9</v>
      </c>
      <c r="AH4" s="1">
        <f t="shared" si="2"/>
        <v>201</v>
      </c>
      <c r="AI4" s="1">
        <f t="shared" si="3"/>
        <v>553.20000000000005</v>
      </c>
      <c r="AJ4" s="1">
        <f t="shared" si="4"/>
        <v>175.6</v>
      </c>
      <c r="AK4" s="1">
        <f t="shared" si="5"/>
        <v>182.8</v>
      </c>
      <c r="AL4" s="1">
        <f t="shared" si="6"/>
        <v>1234.9000000000001</v>
      </c>
    </row>
    <row r="5" spans="1:38" x14ac:dyDescent="0.3">
      <c r="A5" t="s">
        <v>28</v>
      </c>
      <c r="B5" s="1">
        <v>2023</v>
      </c>
      <c r="C5" t="s">
        <v>34</v>
      </c>
      <c r="D5" t="str">
        <f t="shared" si="0"/>
        <v>2023-April</v>
      </c>
      <c r="E5" s="1">
        <v>4</v>
      </c>
      <c r="F5" s="1">
        <v>173.96</v>
      </c>
      <c r="G5" s="1">
        <v>212.16</v>
      </c>
      <c r="H5" s="1">
        <v>171.52</v>
      </c>
      <c r="I5" s="1">
        <v>178.88</v>
      </c>
      <c r="J5" s="1">
        <v>171.96</v>
      </c>
      <c r="K5" s="1">
        <v>174.8</v>
      </c>
      <c r="L5" s="1">
        <v>162.36000000000001</v>
      </c>
      <c r="M5" s="1">
        <v>174.54</v>
      </c>
      <c r="N5" s="1">
        <v>122.18</v>
      </c>
      <c r="O5" s="1">
        <v>213.82000000000002</v>
      </c>
      <c r="P5" s="1">
        <v>172.23999999999998</v>
      </c>
      <c r="Q5" s="1">
        <v>193.95999999999998</v>
      </c>
      <c r="R5" s="1">
        <v>179.07999999999998</v>
      </c>
      <c r="S5" s="1">
        <v>201.54000000000002</v>
      </c>
      <c r="T5" s="1">
        <v>186.21999999999997</v>
      </c>
      <c r="U5" s="1">
        <v>178.04000000000002</v>
      </c>
      <c r="V5" s="1">
        <v>184.97999999999996</v>
      </c>
      <c r="W5" s="1">
        <v>175.33333333333334</v>
      </c>
      <c r="X5" s="1">
        <v>182.23999999999998</v>
      </c>
      <c r="Y5" s="1">
        <v>174.64</v>
      </c>
      <c r="Z5" s="1">
        <v>184.74</v>
      </c>
      <c r="AA5" s="1">
        <v>164.82</v>
      </c>
      <c r="AB5" s="1">
        <v>171.14000000000001</v>
      </c>
      <c r="AC5" s="1">
        <v>177.01999999999998</v>
      </c>
      <c r="AD5" s="1">
        <v>184.54000000000002</v>
      </c>
      <c r="AE5" s="1">
        <v>175.18</v>
      </c>
      <c r="AF5" s="1">
        <v>178.46000000000004</v>
      </c>
      <c r="AG5" s="1">
        <f t="shared" si="1"/>
        <v>2301.4599999999996</v>
      </c>
      <c r="AH5" s="1">
        <f t="shared" si="2"/>
        <v>201.54000000000002</v>
      </c>
      <c r="AI5" s="1">
        <f t="shared" si="3"/>
        <v>549.24</v>
      </c>
      <c r="AJ5" s="1">
        <f t="shared" si="4"/>
        <v>175.33333333333334</v>
      </c>
      <c r="AK5" s="1">
        <f t="shared" si="5"/>
        <v>182.23999999999998</v>
      </c>
      <c r="AL5" s="1">
        <f t="shared" si="6"/>
        <v>1232.0800000000002</v>
      </c>
    </row>
    <row r="6" spans="1:38" x14ac:dyDescent="0.3">
      <c r="A6" t="s">
        <v>30</v>
      </c>
      <c r="B6" s="1">
        <v>2023</v>
      </c>
      <c r="C6" t="s">
        <v>34</v>
      </c>
      <c r="D6" t="str">
        <f t="shared" si="0"/>
        <v>2023-April</v>
      </c>
      <c r="E6" s="1">
        <v>4</v>
      </c>
      <c r="F6" s="1">
        <v>174.04</v>
      </c>
      <c r="G6" s="1">
        <v>213.64</v>
      </c>
      <c r="H6" s="1">
        <v>172.58</v>
      </c>
      <c r="I6" s="1">
        <v>179.14</v>
      </c>
      <c r="J6" s="1">
        <v>170.26</v>
      </c>
      <c r="K6" s="1">
        <v>174.5</v>
      </c>
      <c r="L6" s="1">
        <v>166</v>
      </c>
      <c r="M6" s="1">
        <v>175.1</v>
      </c>
      <c r="N6" s="1">
        <v>122.64</v>
      </c>
      <c r="O6" s="1">
        <v>214.32</v>
      </c>
      <c r="P6" s="1">
        <v>171.27999999999997</v>
      </c>
      <c r="Q6" s="1">
        <v>194.7</v>
      </c>
      <c r="R6" s="1">
        <v>179.8</v>
      </c>
      <c r="S6" s="1">
        <v>201.84</v>
      </c>
      <c r="T6" s="1">
        <v>185.53999999999996</v>
      </c>
      <c r="U6" s="1">
        <v>176.51999999999998</v>
      </c>
      <c r="V6" s="1">
        <v>184.18</v>
      </c>
      <c r="W6" s="1">
        <v>175.4</v>
      </c>
      <c r="X6" s="1">
        <v>182.5</v>
      </c>
      <c r="Y6" s="1">
        <v>173.85999999999999</v>
      </c>
      <c r="Z6" s="1">
        <v>184.44</v>
      </c>
      <c r="AA6" s="1">
        <v>163.9</v>
      </c>
      <c r="AB6" s="1">
        <v>170.74</v>
      </c>
      <c r="AC6" s="1">
        <v>176.56</v>
      </c>
      <c r="AD6" s="1">
        <v>184.82</v>
      </c>
      <c r="AE6" s="1">
        <v>174.54000000000002</v>
      </c>
      <c r="AF6" s="1">
        <v>178.52</v>
      </c>
      <c r="AG6" s="1">
        <f t="shared" si="1"/>
        <v>2308</v>
      </c>
      <c r="AH6" s="1">
        <f t="shared" si="2"/>
        <v>201.84</v>
      </c>
      <c r="AI6" s="1">
        <f t="shared" si="3"/>
        <v>546.24</v>
      </c>
      <c r="AJ6" s="1">
        <f t="shared" si="4"/>
        <v>175.4</v>
      </c>
      <c r="AK6" s="1">
        <f t="shared" si="5"/>
        <v>182.5</v>
      </c>
      <c r="AL6" s="1">
        <f t="shared" si="6"/>
        <v>1228.8599999999999</v>
      </c>
    </row>
    <row r="7" spans="1:38" x14ac:dyDescent="0.3">
      <c r="A7" t="s">
        <v>31</v>
      </c>
      <c r="B7" s="1">
        <v>2023</v>
      </c>
      <c r="C7" t="s">
        <v>34</v>
      </c>
      <c r="D7" t="str">
        <f t="shared" si="0"/>
        <v>2023-April</v>
      </c>
      <c r="E7" s="1">
        <v>4</v>
      </c>
      <c r="F7" s="1">
        <v>173.85</v>
      </c>
      <c r="G7" s="1">
        <v>213.625</v>
      </c>
      <c r="H7" s="1">
        <v>172.625</v>
      </c>
      <c r="I7" s="1">
        <v>179.22499999999999</v>
      </c>
      <c r="J7" s="1">
        <v>170.65</v>
      </c>
      <c r="K7" s="1">
        <v>173.32499999999999</v>
      </c>
      <c r="L7" s="1">
        <v>162.52500000000001</v>
      </c>
      <c r="M7" s="1">
        <v>175.2</v>
      </c>
      <c r="N7" s="1">
        <v>122.52500000000001</v>
      </c>
      <c r="O7" s="1">
        <v>215.95</v>
      </c>
      <c r="P7" s="1">
        <v>172.72499999999999</v>
      </c>
      <c r="Q7" s="1">
        <v>194.125</v>
      </c>
      <c r="R7" s="1">
        <v>179.22500000000002</v>
      </c>
      <c r="S7" s="1">
        <v>201.42500000000001</v>
      </c>
      <c r="T7" s="1">
        <v>186.67500000000001</v>
      </c>
      <c r="U7" s="1">
        <v>178.72500000000002</v>
      </c>
      <c r="V7" s="1">
        <v>185.5</v>
      </c>
      <c r="W7" s="1">
        <v>175.46666666666667</v>
      </c>
      <c r="X7" s="1">
        <v>182.60000000000002</v>
      </c>
      <c r="Y7" s="1">
        <v>174.92500000000001</v>
      </c>
      <c r="Z7" s="1">
        <v>185.17500000000001</v>
      </c>
      <c r="AA7" s="1">
        <v>164.85000000000002</v>
      </c>
      <c r="AB7" s="1">
        <v>171.22500000000002</v>
      </c>
      <c r="AC7" s="1">
        <v>177.15</v>
      </c>
      <c r="AD7" s="1">
        <v>184.92500000000001</v>
      </c>
      <c r="AE7" s="1">
        <v>175.45</v>
      </c>
      <c r="AF7" s="1">
        <v>178.79999999999998</v>
      </c>
      <c r="AG7" s="1">
        <f t="shared" si="1"/>
        <v>2305.5750000000003</v>
      </c>
      <c r="AH7" s="1">
        <f t="shared" si="2"/>
        <v>201.42500000000001</v>
      </c>
      <c r="AI7" s="1">
        <f t="shared" si="3"/>
        <v>550.90000000000009</v>
      </c>
      <c r="AJ7" s="1">
        <f t="shared" si="4"/>
        <v>175.46666666666667</v>
      </c>
      <c r="AK7" s="1">
        <f t="shared" si="5"/>
        <v>182.60000000000002</v>
      </c>
      <c r="AL7" s="1">
        <f t="shared" si="6"/>
        <v>1233.7</v>
      </c>
    </row>
    <row r="8" spans="1:38" x14ac:dyDescent="0.3">
      <c r="A8" t="s">
        <v>28</v>
      </c>
      <c r="B8" s="1">
        <v>2023</v>
      </c>
      <c r="C8" t="s">
        <v>33</v>
      </c>
      <c r="D8" t="str">
        <f t="shared" si="0"/>
        <v>2023-March</v>
      </c>
      <c r="E8" s="1">
        <v>3</v>
      </c>
      <c r="F8" s="1">
        <v>174.3</v>
      </c>
      <c r="G8" s="1">
        <v>209.14</v>
      </c>
      <c r="H8" s="1">
        <v>173.32</v>
      </c>
      <c r="I8" s="1">
        <v>177.84</v>
      </c>
      <c r="J8" s="1">
        <v>176.38</v>
      </c>
      <c r="K8" s="1">
        <v>172.34</v>
      </c>
      <c r="L8" s="1">
        <v>158.46</v>
      </c>
      <c r="M8" s="1">
        <v>172.26</v>
      </c>
      <c r="N8" s="1">
        <v>120.9</v>
      </c>
      <c r="O8" s="1">
        <v>209.97999999999996</v>
      </c>
      <c r="P8" s="1">
        <v>171.7</v>
      </c>
      <c r="Q8" s="1">
        <v>193.4</v>
      </c>
      <c r="R8" s="1">
        <v>178.04000000000002</v>
      </c>
      <c r="S8" s="1">
        <v>200.72</v>
      </c>
      <c r="T8" s="1">
        <v>185.6</v>
      </c>
      <c r="U8" s="1">
        <v>177.54000000000002</v>
      </c>
      <c r="V8" s="1">
        <v>184.39999999999998</v>
      </c>
      <c r="W8" s="1">
        <v>174.06666666666669</v>
      </c>
      <c r="X8" s="1">
        <v>181.9</v>
      </c>
      <c r="Y8" s="1">
        <v>174.14000000000001</v>
      </c>
      <c r="Z8" s="1">
        <v>184.1</v>
      </c>
      <c r="AA8" s="1">
        <v>164.5</v>
      </c>
      <c r="AB8" s="1">
        <v>170.7</v>
      </c>
      <c r="AC8" s="1">
        <v>175.92</v>
      </c>
      <c r="AD8" s="1">
        <v>182.28</v>
      </c>
      <c r="AE8" s="1">
        <v>174.35999999999999</v>
      </c>
      <c r="AF8" s="1">
        <v>177.54</v>
      </c>
      <c r="AG8" s="1">
        <f t="shared" si="1"/>
        <v>2288.06</v>
      </c>
      <c r="AH8" s="1">
        <f t="shared" si="2"/>
        <v>200.72</v>
      </c>
      <c r="AI8" s="1">
        <f t="shared" si="3"/>
        <v>547.54</v>
      </c>
      <c r="AJ8" s="1">
        <f t="shared" si="4"/>
        <v>174.06666666666669</v>
      </c>
      <c r="AK8" s="1">
        <f t="shared" si="5"/>
        <v>181.9</v>
      </c>
      <c r="AL8" s="1">
        <f t="shared" si="6"/>
        <v>1226</v>
      </c>
    </row>
    <row r="9" spans="1:38" x14ac:dyDescent="0.3">
      <c r="A9" t="s">
        <v>30</v>
      </c>
      <c r="B9" s="1">
        <v>2023</v>
      </c>
      <c r="C9" t="s">
        <v>33</v>
      </c>
      <c r="D9" t="str">
        <f t="shared" si="0"/>
        <v>2023-March</v>
      </c>
      <c r="E9" s="1">
        <v>3</v>
      </c>
      <c r="F9" s="1">
        <v>174.2</v>
      </c>
      <c r="G9" s="1">
        <v>209.96</v>
      </c>
      <c r="H9" s="1">
        <v>172.46</v>
      </c>
      <c r="I9" s="1">
        <v>178.12</v>
      </c>
      <c r="J9" s="1">
        <v>174.7</v>
      </c>
      <c r="K9" s="1">
        <v>174.16</v>
      </c>
      <c r="L9" s="1">
        <v>161.36000000000001</v>
      </c>
      <c r="M9" s="1">
        <v>172.84</v>
      </c>
      <c r="N9" s="1">
        <v>121.34</v>
      </c>
      <c r="O9" s="1">
        <v>210.14000000000001</v>
      </c>
      <c r="P9" s="1">
        <v>170.76000000000002</v>
      </c>
      <c r="Q9" s="1">
        <v>194.12</v>
      </c>
      <c r="R9" s="1">
        <v>178.66</v>
      </c>
      <c r="S9" s="1">
        <v>201.16000000000003</v>
      </c>
      <c r="T9" s="1">
        <v>184.98</v>
      </c>
      <c r="U9" s="1">
        <v>175.98000000000002</v>
      </c>
      <c r="V9" s="1">
        <v>183.61999999999998</v>
      </c>
      <c r="W9" s="1">
        <v>174.35000000000002</v>
      </c>
      <c r="X9" s="1">
        <v>181.95999999999998</v>
      </c>
      <c r="Y9" s="1">
        <v>173.34</v>
      </c>
      <c r="Z9" s="1">
        <v>183.78000000000003</v>
      </c>
      <c r="AA9" s="1">
        <v>163.6</v>
      </c>
      <c r="AB9" s="1">
        <v>170.28000000000003</v>
      </c>
      <c r="AC9" s="1">
        <v>175.49999999999997</v>
      </c>
      <c r="AD9" s="1">
        <v>182.94</v>
      </c>
      <c r="AE9" s="1">
        <v>173.78</v>
      </c>
      <c r="AF9" s="1">
        <v>177.56</v>
      </c>
      <c r="AG9" s="1">
        <f t="shared" si="1"/>
        <v>2292.8199999999997</v>
      </c>
      <c r="AH9" s="1">
        <f t="shared" si="2"/>
        <v>201.16000000000003</v>
      </c>
      <c r="AI9" s="1">
        <f t="shared" si="3"/>
        <v>544.58000000000004</v>
      </c>
      <c r="AJ9" s="1">
        <f t="shared" si="4"/>
        <v>174.35000000000002</v>
      </c>
      <c r="AK9" s="1">
        <f t="shared" si="5"/>
        <v>181.95999999999998</v>
      </c>
      <c r="AL9" s="1">
        <f t="shared" si="6"/>
        <v>1223.22</v>
      </c>
    </row>
    <row r="10" spans="1:38" x14ac:dyDescent="0.3">
      <c r="A10" t="s">
        <v>31</v>
      </c>
      <c r="B10" s="1">
        <v>2023</v>
      </c>
      <c r="C10" t="s">
        <v>33</v>
      </c>
      <c r="D10" t="str">
        <f t="shared" si="0"/>
        <v>2023-March</v>
      </c>
      <c r="E10" s="1">
        <v>3</v>
      </c>
      <c r="F10" s="1">
        <v>173.9</v>
      </c>
      <c r="G10" s="1">
        <v>209.82</v>
      </c>
      <c r="H10" s="1">
        <v>171.22</v>
      </c>
      <c r="I10" s="1">
        <v>178.46</v>
      </c>
      <c r="J10" s="1">
        <v>174.92</v>
      </c>
      <c r="K10" s="1">
        <v>173.54</v>
      </c>
      <c r="L10" s="1">
        <v>155.91999999999999</v>
      </c>
      <c r="M10" s="1">
        <v>173.38</v>
      </c>
      <c r="N10" s="1">
        <v>121.34</v>
      </c>
      <c r="O10" s="1">
        <v>213.38000000000002</v>
      </c>
      <c r="P10" s="1">
        <v>173.51999999999998</v>
      </c>
      <c r="Q10" s="1">
        <v>193.02</v>
      </c>
      <c r="R10" s="1">
        <v>177.85999999999999</v>
      </c>
      <c r="S10" s="1">
        <v>200.6</v>
      </c>
      <c r="T10" s="1">
        <v>187.17999999999998</v>
      </c>
      <c r="U10" s="1">
        <v>180.16000000000003</v>
      </c>
      <c r="V10" s="1">
        <v>186.13999999999996</v>
      </c>
      <c r="W10" s="1">
        <v>174.63333333333333</v>
      </c>
      <c r="X10" s="1">
        <v>181.94</v>
      </c>
      <c r="Y10" s="1">
        <v>175.45999999999998</v>
      </c>
      <c r="Z10" s="1">
        <v>185.18</v>
      </c>
      <c r="AA10" s="1">
        <v>165.58</v>
      </c>
      <c r="AB10" s="1">
        <v>171.35999999999999</v>
      </c>
      <c r="AC10" s="1">
        <v>177.06</v>
      </c>
      <c r="AD10" s="1">
        <v>183.62</v>
      </c>
      <c r="AE10" s="1">
        <v>175.68</v>
      </c>
      <c r="AF10" s="1">
        <v>178.26</v>
      </c>
      <c r="AG10" s="1">
        <f t="shared" si="1"/>
        <v>2290.2800000000007</v>
      </c>
      <c r="AH10" s="1">
        <f t="shared" si="2"/>
        <v>200.6</v>
      </c>
      <c r="AI10" s="1">
        <f t="shared" si="3"/>
        <v>553.48</v>
      </c>
      <c r="AJ10" s="1">
        <f t="shared" si="4"/>
        <v>174.63333333333333</v>
      </c>
      <c r="AK10" s="1">
        <f t="shared" si="5"/>
        <v>181.94</v>
      </c>
      <c r="AL10" s="1">
        <f t="shared" si="6"/>
        <v>1233.9400000000003</v>
      </c>
    </row>
    <row r="11" spans="1:38" x14ac:dyDescent="0.3">
      <c r="A11" t="s">
        <v>28</v>
      </c>
      <c r="B11" s="1">
        <v>2023</v>
      </c>
      <c r="C11" t="s">
        <v>32</v>
      </c>
      <c r="D11" t="str">
        <f t="shared" si="0"/>
        <v>2023-February</v>
      </c>
      <c r="E11" s="1">
        <v>2</v>
      </c>
      <c r="F11" s="1">
        <v>174.46</v>
      </c>
      <c r="G11" s="1">
        <v>208.5</v>
      </c>
      <c r="H11" s="1">
        <v>175.48</v>
      </c>
      <c r="I11" s="1">
        <v>177.42</v>
      </c>
      <c r="J11" s="1">
        <v>178.08</v>
      </c>
      <c r="K11" s="1">
        <v>169.62</v>
      </c>
      <c r="L11" s="1">
        <v>157.24</v>
      </c>
      <c r="M11" s="1">
        <v>171.26</v>
      </c>
      <c r="N11" s="1">
        <v>120.4</v>
      </c>
      <c r="O11" s="1">
        <v>208.7</v>
      </c>
      <c r="P11" s="1">
        <v>171.45999999999998</v>
      </c>
      <c r="Q11" s="1">
        <v>193.2</v>
      </c>
      <c r="R11" s="1">
        <v>177.61999999999998</v>
      </c>
      <c r="S11" s="1">
        <v>200.32</v>
      </c>
      <c r="T11" s="1">
        <v>185.34</v>
      </c>
      <c r="U11" s="1">
        <v>177.34</v>
      </c>
      <c r="V11" s="1">
        <v>184.14000000000001</v>
      </c>
      <c r="W11" s="1">
        <v>173.5</v>
      </c>
      <c r="X11" s="1">
        <v>182.1</v>
      </c>
      <c r="Y11" s="1">
        <v>173.95999999999998</v>
      </c>
      <c r="Z11" s="1">
        <v>183.84</v>
      </c>
      <c r="AA11" s="1">
        <v>164.35999999999999</v>
      </c>
      <c r="AB11" s="1">
        <v>170.54000000000002</v>
      </c>
      <c r="AC11" s="1">
        <v>175.4</v>
      </c>
      <c r="AD11" s="1">
        <v>181.06</v>
      </c>
      <c r="AE11" s="1">
        <v>173.98</v>
      </c>
      <c r="AF11" s="1">
        <v>177.16</v>
      </c>
      <c r="AG11" s="1">
        <f t="shared" si="1"/>
        <v>2283.44</v>
      </c>
      <c r="AH11" s="1">
        <f t="shared" si="2"/>
        <v>200.32</v>
      </c>
      <c r="AI11" s="1">
        <f t="shared" si="3"/>
        <v>546.82000000000005</v>
      </c>
      <c r="AJ11" s="1">
        <f t="shared" si="4"/>
        <v>173.5</v>
      </c>
      <c r="AK11" s="1">
        <f t="shared" si="5"/>
        <v>182.1</v>
      </c>
      <c r="AL11" s="1">
        <f t="shared" si="6"/>
        <v>1223.1400000000001</v>
      </c>
    </row>
    <row r="12" spans="1:38" x14ac:dyDescent="0.3">
      <c r="A12" t="s">
        <v>30</v>
      </c>
      <c r="B12" s="1">
        <v>2023</v>
      </c>
      <c r="C12" t="s">
        <v>32</v>
      </c>
      <c r="D12" t="str">
        <f t="shared" si="0"/>
        <v>2023-February</v>
      </c>
      <c r="E12" s="1">
        <v>2</v>
      </c>
      <c r="F12" s="1">
        <v>174.5</v>
      </c>
      <c r="G12" s="1">
        <v>209</v>
      </c>
      <c r="H12" s="1">
        <v>175.74</v>
      </c>
      <c r="I12" s="1">
        <v>177.48</v>
      </c>
      <c r="J12" s="1">
        <v>177.24</v>
      </c>
      <c r="K12" s="1">
        <v>170.08</v>
      </c>
      <c r="L12" s="1">
        <v>159.62</v>
      </c>
      <c r="M12" s="1">
        <v>171.4</v>
      </c>
      <c r="N12" s="1">
        <v>120.58</v>
      </c>
      <c r="O12" s="1">
        <v>208.22000000000003</v>
      </c>
      <c r="P12" s="1">
        <v>170.4</v>
      </c>
      <c r="Q12" s="1">
        <v>193.82</v>
      </c>
      <c r="R12" s="1">
        <v>178.06</v>
      </c>
      <c r="S12" s="1">
        <v>200.56</v>
      </c>
      <c r="T12" s="1">
        <v>184.56</v>
      </c>
      <c r="U12" s="1">
        <v>175.68</v>
      </c>
      <c r="V12" s="1">
        <v>183.23999999999998</v>
      </c>
      <c r="W12" s="1">
        <v>173.5</v>
      </c>
      <c r="X12" s="1">
        <v>182.16</v>
      </c>
      <c r="Y12" s="1">
        <v>173.08</v>
      </c>
      <c r="Z12" s="1">
        <v>183.40000000000003</v>
      </c>
      <c r="AA12" s="1">
        <v>163.4</v>
      </c>
      <c r="AB12" s="1">
        <v>170.04000000000002</v>
      </c>
      <c r="AC12" s="1">
        <v>174.7</v>
      </c>
      <c r="AD12" s="1">
        <v>181.11999999999998</v>
      </c>
      <c r="AE12" s="1">
        <v>173.22</v>
      </c>
      <c r="AF12" s="1">
        <v>177</v>
      </c>
      <c r="AG12" s="1">
        <f t="shared" si="1"/>
        <v>2286.14</v>
      </c>
      <c r="AH12" s="1">
        <f t="shared" si="2"/>
        <v>200.56</v>
      </c>
      <c r="AI12" s="1">
        <f t="shared" si="3"/>
        <v>543.48</v>
      </c>
      <c r="AJ12" s="1">
        <f t="shared" si="4"/>
        <v>173.5</v>
      </c>
      <c r="AK12" s="1">
        <f t="shared" si="5"/>
        <v>182.16</v>
      </c>
      <c r="AL12" s="1">
        <f t="shared" si="6"/>
        <v>1218.96</v>
      </c>
    </row>
    <row r="13" spans="1:38" x14ac:dyDescent="0.3">
      <c r="A13" t="s">
        <v>31</v>
      </c>
      <c r="B13" s="1">
        <v>2023</v>
      </c>
      <c r="C13" t="s">
        <v>32</v>
      </c>
      <c r="D13" t="str">
        <f t="shared" si="0"/>
        <v>2023-February</v>
      </c>
      <c r="E13" s="1">
        <v>2</v>
      </c>
      <c r="F13" s="1">
        <v>174.22</v>
      </c>
      <c r="G13" s="1">
        <v>207.94</v>
      </c>
      <c r="H13" s="1">
        <v>173.88</v>
      </c>
      <c r="I13" s="1">
        <v>177.54</v>
      </c>
      <c r="J13" s="1">
        <v>178.5</v>
      </c>
      <c r="K13" s="1">
        <v>170.4</v>
      </c>
      <c r="L13" s="1">
        <v>153.02000000000001</v>
      </c>
      <c r="M13" s="1">
        <v>171.52</v>
      </c>
      <c r="N13" s="1">
        <v>120.28</v>
      </c>
      <c r="O13" s="1">
        <v>210.35999999999999</v>
      </c>
      <c r="P13" s="1">
        <v>173.06</v>
      </c>
      <c r="Q13" s="1">
        <v>192.6</v>
      </c>
      <c r="R13" s="1">
        <v>177.02</v>
      </c>
      <c r="S13" s="1">
        <v>199.92</v>
      </c>
      <c r="T13" s="1">
        <v>186.64000000000001</v>
      </c>
      <c r="U13" s="1">
        <v>179.74</v>
      </c>
      <c r="V13" s="1">
        <v>185.64000000000001</v>
      </c>
      <c r="W13" s="1">
        <v>173.5</v>
      </c>
      <c r="X13" s="1">
        <v>181.9</v>
      </c>
      <c r="Y13" s="1">
        <v>175.06</v>
      </c>
      <c r="Z13" s="1">
        <v>184.67999999999998</v>
      </c>
      <c r="AA13" s="1">
        <v>165.32</v>
      </c>
      <c r="AB13" s="1">
        <v>171</v>
      </c>
      <c r="AC13" s="1">
        <v>176.07999999999998</v>
      </c>
      <c r="AD13" s="1">
        <v>181.6</v>
      </c>
      <c r="AE13" s="1">
        <v>175</v>
      </c>
      <c r="AF13" s="1">
        <v>177.5</v>
      </c>
      <c r="AG13" s="1">
        <f t="shared" si="1"/>
        <v>2280.3399999999997</v>
      </c>
      <c r="AH13" s="1">
        <f t="shared" si="2"/>
        <v>199.92</v>
      </c>
      <c r="AI13" s="1">
        <f t="shared" si="3"/>
        <v>552.02</v>
      </c>
      <c r="AJ13" s="1">
        <f t="shared" si="4"/>
        <v>173.5</v>
      </c>
      <c r="AK13" s="1">
        <f t="shared" si="5"/>
        <v>181.9</v>
      </c>
      <c r="AL13" s="1">
        <f t="shared" si="6"/>
        <v>1228.7399999999998</v>
      </c>
    </row>
    <row r="14" spans="1:38" x14ac:dyDescent="0.3">
      <c r="A14" t="s">
        <v>28</v>
      </c>
      <c r="B14" s="1">
        <v>2023</v>
      </c>
      <c r="C14" t="s">
        <v>29</v>
      </c>
      <c r="D14" t="str">
        <f t="shared" si="0"/>
        <v>2023-January</v>
      </c>
      <c r="E14" s="1">
        <v>1</v>
      </c>
      <c r="F14" s="1">
        <v>174</v>
      </c>
      <c r="G14" s="1">
        <v>210.32</v>
      </c>
      <c r="H14" s="1">
        <v>187.1</v>
      </c>
      <c r="I14" s="1">
        <v>175.8</v>
      </c>
      <c r="J14" s="1">
        <v>182.68</v>
      </c>
      <c r="K14" s="1">
        <v>162.88</v>
      </c>
      <c r="L14" s="1">
        <v>157.76</v>
      </c>
      <c r="M14" s="1">
        <v>171.08</v>
      </c>
      <c r="N14" s="1">
        <v>121.02</v>
      </c>
      <c r="O14" s="1">
        <v>208.02000000000004</v>
      </c>
      <c r="P14" s="1">
        <v>170.9</v>
      </c>
      <c r="Q14" s="1">
        <v>192.1</v>
      </c>
      <c r="R14" s="1">
        <v>177.34</v>
      </c>
      <c r="S14" s="1">
        <v>199.54000000000002</v>
      </c>
      <c r="T14" s="1">
        <v>184.58</v>
      </c>
      <c r="U14" s="1">
        <v>176.64000000000001</v>
      </c>
      <c r="V14" s="1">
        <v>183.35999999999999</v>
      </c>
      <c r="W14" s="1">
        <v>172.56666666666669</v>
      </c>
      <c r="X14" s="1">
        <v>181.94</v>
      </c>
      <c r="Y14" s="1">
        <v>173.18</v>
      </c>
      <c r="Z14" s="1">
        <v>182.58</v>
      </c>
      <c r="AA14" s="1">
        <v>164.01999999999998</v>
      </c>
      <c r="AB14" s="1">
        <v>170.06</v>
      </c>
      <c r="AC14" s="1">
        <v>174.98000000000002</v>
      </c>
      <c r="AD14" s="1">
        <v>179.57999999999998</v>
      </c>
      <c r="AE14" s="1">
        <v>173.22</v>
      </c>
      <c r="AF14" s="1">
        <v>176.7</v>
      </c>
      <c r="AG14" s="1">
        <f t="shared" si="1"/>
        <v>2291.0000000000005</v>
      </c>
      <c r="AH14" s="1">
        <f t="shared" si="2"/>
        <v>199.54000000000002</v>
      </c>
      <c r="AI14" s="1">
        <f t="shared" si="3"/>
        <v>544.58000000000004</v>
      </c>
      <c r="AJ14" s="1">
        <f t="shared" si="4"/>
        <v>172.56666666666669</v>
      </c>
      <c r="AK14" s="1">
        <f t="shared" si="5"/>
        <v>181.94</v>
      </c>
      <c r="AL14" s="1">
        <f t="shared" si="6"/>
        <v>1217.6199999999999</v>
      </c>
    </row>
    <row r="15" spans="1:38" x14ac:dyDescent="0.3">
      <c r="A15" t="s">
        <v>30</v>
      </c>
      <c r="B15" s="1">
        <v>2023</v>
      </c>
      <c r="C15" t="s">
        <v>29</v>
      </c>
      <c r="D15" t="str">
        <f t="shared" si="0"/>
        <v>2023-January</v>
      </c>
      <c r="E15" s="1">
        <v>1</v>
      </c>
      <c r="F15" s="1">
        <v>174.08</v>
      </c>
      <c r="G15" s="1">
        <v>210.2</v>
      </c>
      <c r="H15" s="1">
        <v>183.56</v>
      </c>
      <c r="I15" s="1">
        <v>176.4</v>
      </c>
      <c r="J15" s="1">
        <v>180.02</v>
      </c>
      <c r="K15" s="1">
        <v>165.52</v>
      </c>
      <c r="L15" s="1">
        <v>159.72</v>
      </c>
      <c r="M15" s="1">
        <v>171.14</v>
      </c>
      <c r="N15" s="1">
        <v>120.96</v>
      </c>
      <c r="O15" s="1">
        <v>207.86000000000004</v>
      </c>
      <c r="P15" s="1">
        <v>169.98000000000002</v>
      </c>
      <c r="Q15" s="1">
        <v>193</v>
      </c>
      <c r="R15" s="1">
        <v>177.74</v>
      </c>
      <c r="S15" s="1">
        <v>200.06</v>
      </c>
      <c r="T15" s="1">
        <v>184.02000000000004</v>
      </c>
      <c r="U15" s="1">
        <v>175.11999999999998</v>
      </c>
      <c r="V15" s="1">
        <v>182.66000000000003</v>
      </c>
      <c r="W15" s="1">
        <v>172.8</v>
      </c>
      <c r="X15" s="1">
        <v>181.72</v>
      </c>
      <c r="Y15" s="1">
        <v>172.58</v>
      </c>
      <c r="Z15" s="1">
        <v>182.52</v>
      </c>
      <c r="AA15" s="1">
        <v>163.22000000000003</v>
      </c>
      <c r="AB15" s="1">
        <v>169.76</v>
      </c>
      <c r="AC15" s="1">
        <v>174.42000000000002</v>
      </c>
      <c r="AD15" s="1">
        <v>180.09999999999997</v>
      </c>
      <c r="AE15" s="1">
        <v>172.74</v>
      </c>
      <c r="AF15" s="1">
        <v>176.58</v>
      </c>
      <c r="AG15" s="1">
        <f t="shared" si="1"/>
        <v>2290.1800000000003</v>
      </c>
      <c r="AH15" s="1">
        <f t="shared" si="2"/>
        <v>200.06</v>
      </c>
      <c r="AI15" s="1">
        <f t="shared" si="3"/>
        <v>541.79999999999995</v>
      </c>
      <c r="AJ15" s="1">
        <f t="shared" si="4"/>
        <v>172.8</v>
      </c>
      <c r="AK15" s="1">
        <f t="shared" si="5"/>
        <v>181.72</v>
      </c>
      <c r="AL15" s="1">
        <f t="shared" si="6"/>
        <v>1215.3399999999999</v>
      </c>
    </row>
    <row r="16" spans="1:38" x14ac:dyDescent="0.3">
      <c r="A16" t="s">
        <v>31</v>
      </c>
      <c r="B16" s="1">
        <v>2023</v>
      </c>
      <c r="C16" t="s">
        <v>29</v>
      </c>
      <c r="D16" t="str">
        <f t="shared" si="0"/>
        <v>2023-January</v>
      </c>
      <c r="E16" s="1">
        <v>1</v>
      </c>
      <c r="F16" s="1">
        <v>174.28</v>
      </c>
      <c r="G16" s="1">
        <v>208.2</v>
      </c>
      <c r="H16" s="1">
        <v>178.94</v>
      </c>
      <c r="I16" s="1">
        <v>176.76</v>
      </c>
      <c r="J16" s="1">
        <v>181.08</v>
      </c>
      <c r="K16" s="1">
        <v>166.86</v>
      </c>
      <c r="L16" s="1">
        <v>152.84</v>
      </c>
      <c r="M16" s="1">
        <v>171</v>
      </c>
      <c r="N16" s="1">
        <v>120.24</v>
      </c>
      <c r="O16" s="1">
        <v>209.42</v>
      </c>
      <c r="P16" s="1">
        <v>172.76000000000002</v>
      </c>
      <c r="Q16" s="1">
        <v>192.12</v>
      </c>
      <c r="R16" s="1">
        <v>176.8</v>
      </c>
      <c r="S16" s="1">
        <v>199.42000000000002</v>
      </c>
      <c r="T16" s="1">
        <v>186.28000000000003</v>
      </c>
      <c r="U16" s="1">
        <v>179.45999999999998</v>
      </c>
      <c r="V16" s="1">
        <v>185.26</v>
      </c>
      <c r="W16" s="1">
        <v>173.03333333333333</v>
      </c>
      <c r="X16" s="1">
        <v>181.98000000000002</v>
      </c>
      <c r="Y16" s="1">
        <v>174.70000000000002</v>
      </c>
      <c r="Z16" s="1">
        <v>184.14000000000001</v>
      </c>
      <c r="AA16" s="1">
        <v>165.12</v>
      </c>
      <c r="AB16" s="1">
        <v>170.76</v>
      </c>
      <c r="AC16" s="1">
        <v>175.76</v>
      </c>
      <c r="AD16" s="1">
        <v>180.47999999999996</v>
      </c>
      <c r="AE16" s="1">
        <v>174.54000000000002</v>
      </c>
      <c r="AF16" s="1">
        <v>177.2</v>
      </c>
      <c r="AG16" s="1">
        <f t="shared" si="1"/>
        <v>2281.3000000000002</v>
      </c>
      <c r="AH16" s="1">
        <f t="shared" si="2"/>
        <v>199.42000000000002</v>
      </c>
      <c r="AI16" s="1">
        <f t="shared" si="3"/>
        <v>551</v>
      </c>
      <c r="AJ16" s="1">
        <f t="shared" si="4"/>
        <v>173.03333333333333</v>
      </c>
      <c r="AK16" s="1">
        <f t="shared" si="5"/>
        <v>181.98000000000002</v>
      </c>
      <c r="AL16" s="1">
        <f t="shared" si="6"/>
        <v>1225.5</v>
      </c>
    </row>
    <row r="17" spans="1:38" x14ac:dyDescent="0.3">
      <c r="A17" t="s">
        <v>28</v>
      </c>
      <c r="B17" s="1">
        <v>2022</v>
      </c>
      <c r="C17" t="s">
        <v>43</v>
      </c>
      <c r="D17" t="str">
        <f t="shared" si="0"/>
        <v>2022-December</v>
      </c>
      <c r="E17" s="1">
        <v>12</v>
      </c>
      <c r="F17" s="1">
        <v>171.1</v>
      </c>
      <c r="G17" s="1">
        <v>210.46</v>
      </c>
      <c r="H17" s="1">
        <v>192.22</v>
      </c>
      <c r="I17" s="1">
        <v>174.08</v>
      </c>
      <c r="J17" s="1">
        <v>186.42</v>
      </c>
      <c r="K17" s="1">
        <v>158.19999999999999</v>
      </c>
      <c r="L17" s="1">
        <v>161.4</v>
      </c>
      <c r="M17" s="1">
        <v>170.9</v>
      </c>
      <c r="N17" s="1">
        <v>121.82</v>
      </c>
      <c r="O17" s="1">
        <v>205.6</v>
      </c>
      <c r="P17" s="1">
        <v>170.24</v>
      </c>
      <c r="Q17" s="1">
        <v>190.82</v>
      </c>
      <c r="R17" s="1">
        <v>176.68</v>
      </c>
      <c r="S17" s="1">
        <v>198.56</v>
      </c>
      <c r="T17" s="1">
        <v>183.5</v>
      </c>
      <c r="U17" s="1">
        <v>175.8</v>
      </c>
      <c r="V17" s="1">
        <v>182.34</v>
      </c>
      <c r="W17" s="1">
        <v>171.16666666666666</v>
      </c>
      <c r="X17" s="1">
        <v>181.73999999999998</v>
      </c>
      <c r="Y17" s="1">
        <v>172.2</v>
      </c>
      <c r="Z17" s="1">
        <v>181</v>
      </c>
      <c r="AA17" s="1">
        <v>163.66</v>
      </c>
      <c r="AB17" s="1">
        <v>169.35999999999999</v>
      </c>
      <c r="AC17" s="1">
        <v>174.56</v>
      </c>
      <c r="AD17" s="1">
        <v>176.94</v>
      </c>
      <c r="AE17" s="1">
        <v>172.22</v>
      </c>
      <c r="AF17" s="1">
        <v>175.92000000000002</v>
      </c>
      <c r="AG17" s="1">
        <f t="shared" si="1"/>
        <v>2289.94</v>
      </c>
      <c r="AH17" s="1">
        <f t="shared" si="2"/>
        <v>198.56</v>
      </c>
      <c r="AI17" s="1">
        <f t="shared" si="3"/>
        <v>541.64</v>
      </c>
      <c r="AJ17" s="1">
        <f t="shared" si="4"/>
        <v>171.16666666666666</v>
      </c>
      <c r="AK17" s="1">
        <f t="shared" si="5"/>
        <v>181.73999999999998</v>
      </c>
      <c r="AL17" s="1">
        <f t="shared" si="6"/>
        <v>1209.94</v>
      </c>
    </row>
    <row r="18" spans="1:38" x14ac:dyDescent="0.3">
      <c r="A18" t="s">
        <v>30</v>
      </c>
      <c r="B18" s="1">
        <v>2022</v>
      </c>
      <c r="C18" t="s">
        <v>43</v>
      </c>
      <c r="D18" t="str">
        <f t="shared" si="0"/>
        <v>2022-December</v>
      </c>
      <c r="E18" s="1">
        <v>12</v>
      </c>
      <c r="F18" s="1">
        <v>172.1</v>
      </c>
      <c r="G18" s="1">
        <v>211.22</v>
      </c>
      <c r="H18" s="1">
        <v>193.3</v>
      </c>
      <c r="I18" s="1">
        <v>174.32</v>
      </c>
      <c r="J18" s="1">
        <v>185.08</v>
      </c>
      <c r="K18" s="1">
        <v>158.52000000000001</v>
      </c>
      <c r="L18" s="1">
        <v>162.13999999999999</v>
      </c>
      <c r="M18" s="1">
        <v>170.98</v>
      </c>
      <c r="N18" s="1">
        <v>121.8</v>
      </c>
      <c r="O18" s="1">
        <v>205.78000000000003</v>
      </c>
      <c r="P18" s="1">
        <v>169.16000000000003</v>
      </c>
      <c r="Q18" s="1">
        <v>191.52000000000004</v>
      </c>
      <c r="R18" s="1">
        <v>177.14000000000001</v>
      </c>
      <c r="S18" s="1">
        <v>199.01999999999998</v>
      </c>
      <c r="T18" s="1">
        <v>182.86</v>
      </c>
      <c r="U18" s="1">
        <v>174.14</v>
      </c>
      <c r="V18" s="1">
        <v>181.54000000000002</v>
      </c>
      <c r="W18" s="1">
        <v>171.4</v>
      </c>
      <c r="X18" s="1">
        <v>181.57999999999998</v>
      </c>
      <c r="Y18" s="1">
        <v>171.49999999999997</v>
      </c>
      <c r="Z18" s="1">
        <v>180.76</v>
      </c>
      <c r="AA18" s="1">
        <v>162.82</v>
      </c>
      <c r="AB18" s="1">
        <v>169.02</v>
      </c>
      <c r="AC18" s="1">
        <v>173.95999999999998</v>
      </c>
      <c r="AD18" s="1">
        <v>177.52</v>
      </c>
      <c r="AE18" s="1">
        <v>171.68</v>
      </c>
      <c r="AF18" s="1">
        <v>175.79999999999998</v>
      </c>
      <c r="AG18" s="1">
        <f t="shared" si="1"/>
        <v>2293.0600000000004</v>
      </c>
      <c r="AH18" s="1">
        <f t="shared" si="2"/>
        <v>199.01999999999998</v>
      </c>
      <c r="AI18" s="1">
        <f t="shared" si="3"/>
        <v>538.54</v>
      </c>
      <c r="AJ18" s="1">
        <f t="shared" si="4"/>
        <v>171.4</v>
      </c>
      <c r="AK18" s="1">
        <f t="shared" si="5"/>
        <v>181.57999999999998</v>
      </c>
      <c r="AL18" s="1">
        <f t="shared" si="6"/>
        <v>1207.26</v>
      </c>
    </row>
    <row r="19" spans="1:38" x14ac:dyDescent="0.3">
      <c r="A19" t="s">
        <v>31</v>
      </c>
      <c r="B19" s="1">
        <v>2022</v>
      </c>
      <c r="C19" t="s">
        <v>43</v>
      </c>
      <c r="D19" t="str">
        <f t="shared" si="0"/>
        <v>2022-December</v>
      </c>
      <c r="E19" s="1">
        <v>12</v>
      </c>
      <c r="F19" s="1">
        <v>172.9</v>
      </c>
      <c r="G19" s="1">
        <v>209.68</v>
      </c>
      <c r="H19" s="1">
        <v>189.7</v>
      </c>
      <c r="I19" s="1">
        <v>174.94</v>
      </c>
      <c r="J19" s="1">
        <v>185.94</v>
      </c>
      <c r="K19" s="1">
        <v>160.06</v>
      </c>
      <c r="L19" s="1">
        <v>154.58000000000001</v>
      </c>
      <c r="M19" s="1">
        <v>170.8</v>
      </c>
      <c r="N19" s="1">
        <v>121</v>
      </c>
      <c r="O19" s="1">
        <v>208.1</v>
      </c>
      <c r="P19" s="1">
        <v>172.12</v>
      </c>
      <c r="Q19" s="1">
        <v>190.83999999999997</v>
      </c>
      <c r="R19" s="1">
        <v>176.37999999999997</v>
      </c>
      <c r="S19" s="1">
        <v>198.45999999999998</v>
      </c>
      <c r="T19" s="1">
        <v>185.32</v>
      </c>
      <c r="U19" s="1">
        <v>178.64000000000001</v>
      </c>
      <c r="V19" s="1">
        <v>184.32</v>
      </c>
      <c r="W19" s="1">
        <v>171.63333333333333</v>
      </c>
      <c r="X19" s="1">
        <v>181.78</v>
      </c>
      <c r="Y19" s="1">
        <v>173.76</v>
      </c>
      <c r="Z19" s="1">
        <v>182.64</v>
      </c>
      <c r="AA19" s="1">
        <v>164.74</v>
      </c>
      <c r="AB19" s="1">
        <v>170.16</v>
      </c>
      <c r="AC19" s="1">
        <v>175.3</v>
      </c>
      <c r="AD19" s="1">
        <v>178.45999999999998</v>
      </c>
      <c r="AE19" s="1">
        <v>173.62</v>
      </c>
      <c r="AF19" s="1">
        <v>176.57999999999998</v>
      </c>
      <c r="AG19" s="1">
        <f t="shared" si="1"/>
        <v>2287.04</v>
      </c>
      <c r="AH19" s="1">
        <f t="shared" si="2"/>
        <v>198.45999999999998</v>
      </c>
      <c r="AI19" s="1">
        <f t="shared" si="3"/>
        <v>548.28</v>
      </c>
      <c r="AJ19" s="1">
        <f t="shared" si="4"/>
        <v>171.63333333333333</v>
      </c>
      <c r="AK19" s="1">
        <f t="shared" si="5"/>
        <v>181.78</v>
      </c>
      <c r="AL19" s="1">
        <f t="shared" si="6"/>
        <v>1218.6799999999998</v>
      </c>
    </row>
    <row r="20" spans="1:38" x14ac:dyDescent="0.3">
      <c r="A20" t="s">
        <v>28</v>
      </c>
      <c r="B20" s="1">
        <v>2022</v>
      </c>
      <c r="C20" t="s">
        <v>42</v>
      </c>
      <c r="D20" t="str">
        <f t="shared" si="0"/>
        <v>2022-November</v>
      </c>
      <c r="E20" s="1">
        <v>11</v>
      </c>
      <c r="F20" s="1">
        <v>168.34</v>
      </c>
      <c r="G20" s="1">
        <v>209.96</v>
      </c>
      <c r="H20" s="1">
        <v>185.16</v>
      </c>
      <c r="I20" s="1">
        <v>172.84</v>
      </c>
      <c r="J20" s="1">
        <v>187.18</v>
      </c>
      <c r="K20" s="1">
        <v>159.72</v>
      </c>
      <c r="L20" s="1">
        <v>177.82</v>
      </c>
      <c r="M20" s="1">
        <v>170.7</v>
      </c>
      <c r="N20" s="1">
        <v>122.26</v>
      </c>
      <c r="O20" s="1">
        <v>202.88000000000002</v>
      </c>
      <c r="P20" s="1">
        <v>169.7</v>
      </c>
      <c r="Q20" s="1">
        <v>189.95999999999998</v>
      </c>
      <c r="R20" s="1">
        <v>177.84</v>
      </c>
      <c r="S20" s="1">
        <v>198</v>
      </c>
      <c r="T20" s="1">
        <v>182.56</v>
      </c>
      <c r="U20" s="1">
        <v>175.06</v>
      </c>
      <c r="V20" s="1">
        <v>181.44</v>
      </c>
      <c r="W20" s="1">
        <v>171.43333333333331</v>
      </c>
      <c r="X20" s="1">
        <v>181.38</v>
      </c>
      <c r="Y20" s="1">
        <v>171.5</v>
      </c>
      <c r="Z20" s="1">
        <v>179.72000000000003</v>
      </c>
      <c r="AA20" s="1">
        <v>163.32</v>
      </c>
      <c r="AB20" s="1">
        <v>168.86</v>
      </c>
      <c r="AC20" s="1">
        <v>174.23999999999995</v>
      </c>
      <c r="AD20" s="1">
        <v>174.5</v>
      </c>
      <c r="AE20" s="1">
        <v>171.35999999999999</v>
      </c>
      <c r="AF20" s="1">
        <v>175.92000000000002</v>
      </c>
      <c r="AG20" s="1">
        <f t="shared" si="1"/>
        <v>2294.36</v>
      </c>
      <c r="AH20" s="1">
        <f t="shared" si="2"/>
        <v>198</v>
      </c>
      <c r="AI20" s="1">
        <f t="shared" si="3"/>
        <v>539.05999999999995</v>
      </c>
      <c r="AJ20" s="1">
        <f t="shared" si="4"/>
        <v>171.43333333333331</v>
      </c>
      <c r="AK20" s="1">
        <f t="shared" si="5"/>
        <v>181.38</v>
      </c>
      <c r="AL20" s="1">
        <f t="shared" si="6"/>
        <v>1203.4999999999998</v>
      </c>
    </row>
    <row r="21" spans="1:38" x14ac:dyDescent="0.3">
      <c r="A21" t="s">
        <v>30</v>
      </c>
      <c r="B21" s="1">
        <v>2022</v>
      </c>
      <c r="C21" t="s">
        <v>42</v>
      </c>
      <c r="D21" t="str">
        <f t="shared" si="0"/>
        <v>2022-November</v>
      </c>
      <c r="E21" s="1">
        <v>11</v>
      </c>
      <c r="F21" s="1">
        <v>168.8</v>
      </c>
      <c r="G21" s="1">
        <v>210.32</v>
      </c>
      <c r="H21" s="1">
        <v>187.16</v>
      </c>
      <c r="I21" s="1">
        <v>173.1</v>
      </c>
      <c r="J21" s="1">
        <v>186.08</v>
      </c>
      <c r="K21" s="1">
        <v>159.5</v>
      </c>
      <c r="L21" s="1">
        <v>175.48</v>
      </c>
      <c r="M21" s="1">
        <v>170.82</v>
      </c>
      <c r="N21" s="1">
        <v>122.32</v>
      </c>
      <c r="O21" s="1">
        <v>202.95999999999998</v>
      </c>
      <c r="P21" s="1">
        <v>168.62</v>
      </c>
      <c r="Q21" s="1">
        <v>190.63999999999996</v>
      </c>
      <c r="R21" s="1">
        <v>177.7</v>
      </c>
      <c r="S21" s="1">
        <v>198.35999999999999</v>
      </c>
      <c r="T21" s="1">
        <v>181.92</v>
      </c>
      <c r="U21" s="1">
        <v>173.42000000000002</v>
      </c>
      <c r="V21" s="1">
        <v>180.66</v>
      </c>
      <c r="W21" s="1">
        <v>171.25</v>
      </c>
      <c r="X21" s="1">
        <v>181.40000000000003</v>
      </c>
      <c r="Y21" s="1">
        <v>170.82</v>
      </c>
      <c r="Z21" s="1">
        <v>179.48</v>
      </c>
      <c r="AA21" s="1">
        <v>162.5</v>
      </c>
      <c r="AB21" s="1">
        <v>168.48</v>
      </c>
      <c r="AC21" s="1">
        <v>173.68</v>
      </c>
      <c r="AD21" s="1">
        <v>174.97999999999996</v>
      </c>
      <c r="AE21" s="1">
        <v>170.84</v>
      </c>
      <c r="AF21" s="1">
        <v>175.5</v>
      </c>
      <c r="AG21" s="1">
        <f t="shared" si="1"/>
        <v>2293.4999999999995</v>
      </c>
      <c r="AH21" s="1">
        <f t="shared" si="2"/>
        <v>198.35999999999999</v>
      </c>
      <c r="AI21" s="1">
        <f t="shared" si="3"/>
        <v>536</v>
      </c>
      <c r="AJ21" s="1">
        <f t="shared" si="4"/>
        <v>171.25</v>
      </c>
      <c r="AK21" s="1">
        <f t="shared" si="5"/>
        <v>181.40000000000003</v>
      </c>
      <c r="AL21" s="1">
        <f t="shared" si="6"/>
        <v>1200.78</v>
      </c>
    </row>
    <row r="22" spans="1:38" x14ac:dyDescent="0.3">
      <c r="A22" t="s">
        <v>31</v>
      </c>
      <c r="B22" s="1">
        <v>2022</v>
      </c>
      <c r="C22" t="s">
        <v>42</v>
      </c>
      <c r="D22" t="str">
        <f t="shared" si="0"/>
        <v>2022-November</v>
      </c>
      <c r="E22" s="1">
        <v>11</v>
      </c>
      <c r="F22" s="1">
        <v>169.92</v>
      </c>
      <c r="G22" s="1">
        <v>209.3</v>
      </c>
      <c r="H22" s="1">
        <v>189.1</v>
      </c>
      <c r="I22" s="1">
        <v>173.5</v>
      </c>
      <c r="J22" s="1">
        <v>188.6</v>
      </c>
      <c r="K22" s="1">
        <v>158.24</v>
      </c>
      <c r="L22" s="1">
        <v>162.96</v>
      </c>
      <c r="M22" s="1">
        <v>170.76</v>
      </c>
      <c r="N22" s="1">
        <v>121.7</v>
      </c>
      <c r="O22" s="1">
        <v>205.3</v>
      </c>
      <c r="P22" s="1">
        <v>171.57999999999998</v>
      </c>
      <c r="Q22" s="1">
        <v>189.85999999999999</v>
      </c>
      <c r="R22" s="1">
        <v>176.44</v>
      </c>
      <c r="S22" s="1">
        <v>197.62</v>
      </c>
      <c r="T22" s="1">
        <v>184.38</v>
      </c>
      <c r="U22" s="1">
        <v>177.98000000000002</v>
      </c>
      <c r="V22" s="1">
        <v>183.44</v>
      </c>
      <c r="W22" s="1">
        <v>171.06666666666669</v>
      </c>
      <c r="X22" s="1">
        <v>181.98000000000002</v>
      </c>
      <c r="Y22" s="1">
        <v>172.88000000000002</v>
      </c>
      <c r="Z22" s="1">
        <v>181.26</v>
      </c>
      <c r="AA22" s="1">
        <v>164.35999999999999</v>
      </c>
      <c r="AB22" s="1">
        <v>169.5</v>
      </c>
      <c r="AC22" s="1">
        <v>174.94</v>
      </c>
      <c r="AD22" s="1">
        <v>175.89999999999998</v>
      </c>
      <c r="AE22" s="1">
        <v>172.66</v>
      </c>
      <c r="AF22" s="1">
        <v>176.24</v>
      </c>
      <c r="AG22" s="1">
        <f t="shared" si="1"/>
        <v>2287.2600000000002</v>
      </c>
      <c r="AH22" s="1">
        <f t="shared" si="2"/>
        <v>197.62</v>
      </c>
      <c r="AI22" s="1">
        <f t="shared" si="3"/>
        <v>545.79999999999995</v>
      </c>
      <c r="AJ22" s="1">
        <f t="shared" si="4"/>
        <v>171.06666666666669</v>
      </c>
      <c r="AK22" s="1">
        <f t="shared" si="5"/>
        <v>181.98000000000002</v>
      </c>
      <c r="AL22" s="1">
        <f t="shared" si="6"/>
        <v>1211.5000000000002</v>
      </c>
    </row>
    <row r="23" spans="1:38" x14ac:dyDescent="0.3">
      <c r="A23" t="s">
        <v>28</v>
      </c>
      <c r="B23" s="1">
        <v>2022</v>
      </c>
      <c r="C23" t="s">
        <v>40</v>
      </c>
      <c r="D23" t="str">
        <f t="shared" si="0"/>
        <v>2022-October</v>
      </c>
      <c r="E23" s="1">
        <v>10</v>
      </c>
      <c r="F23" s="1">
        <v>166.32</v>
      </c>
      <c r="G23" s="1">
        <v>211.04</v>
      </c>
      <c r="H23" s="1">
        <v>175.3</v>
      </c>
      <c r="I23" s="1">
        <v>171.48</v>
      </c>
      <c r="J23" s="1">
        <v>185.96</v>
      </c>
      <c r="K23" s="1">
        <v>162.68</v>
      </c>
      <c r="L23" s="1">
        <v>198.04</v>
      </c>
      <c r="M23" s="1">
        <v>170.12</v>
      </c>
      <c r="N23" s="1">
        <v>122.26</v>
      </c>
      <c r="O23" s="1">
        <v>200.3</v>
      </c>
      <c r="P23" s="1">
        <v>169.16</v>
      </c>
      <c r="Q23" s="1">
        <v>188.94</v>
      </c>
      <c r="R23" s="1">
        <v>179.64000000000001</v>
      </c>
      <c r="S23" s="1">
        <v>197.48</v>
      </c>
      <c r="T23" s="1">
        <v>181.48000000000002</v>
      </c>
      <c r="U23" s="1">
        <v>174.2</v>
      </c>
      <c r="V23" s="1">
        <v>180.42</v>
      </c>
      <c r="W23" s="1">
        <v>171.4</v>
      </c>
      <c r="X23" s="1">
        <v>180.7</v>
      </c>
      <c r="Y23" s="1">
        <v>170.64</v>
      </c>
      <c r="Z23" s="1">
        <v>178.53999999999996</v>
      </c>
      <c r="AA23" s="1">
        <v>163.1</v>
      </c>
      <c r="AB23" s="1">
        <v>168.51999999999998</v>
      </c>
      <c r="AC23" s="1">
        <v>173.9</v>
      </c>
      <c r="AD23" s="1">
        <v>172.71999999999997</v>
      </c>
      <c r="AE23" s="1">
        <v>170.64000000000001</v>
      </c>
      <c r="AF23" s="1">
        <v>176.36</v>
      </c>
      <c r="AG23" s="1">
        <f t="shared" si="1"/>
        <v>2301.2399999999998</v>
      </c>
      <c r="AH23" s="1">
        <f t="shared" si="2"/>
        <v>197.48</v>
      </c>
      <c r="AI23" s="1">
        <f t="shared" si="3"/>
        <v>536.1</v>
      </c>
      <c r="AJ23" s="1">
        <f t="shared" si="4"/>
        <v>171.4</v>
      </c>
      <c r="AK23" s="1">
        <f t="shared" si="5"/>
        <v>180.7</v>
      </c>
      <c r="AL23" s="1">
        <f t="shared" si="6"/>
        <v>1198.06</v>
      </c>
    </row>
    <row r="24" spans="1:38" x14ac:dyDescent="0.3">
      <c r="A24" t="s">
        <v>30</v>
      </c>
      <c r="B24" s="1">
        <v>2022</v>
      </c>
      <c r="C24" t="s">
        <v>40</v>
      </c>
      <c r="D24" t="str">
        <f t="shared" si="0"/>
        <v>2022-October</v>
      </c>
      <c r="E24" s="1">
        <v>10</v>
      </c>
      <c r="F24" s="1">
        <v>166.86</v>
      </c>
      <c r="G24" s="1">
        <v>211.16</v>
      </c>
      <c r="H24" s="1">
        <v>177.52</v>
      </c>
      <c r="I24" s="1">
        <v>171.76</v>
      </c>
      <c r="J24" s="1">
        <v>185.42</v>
      </c>
      <c r="K24" s="1">
        <v>162.38</v>
      </c>
      <c r="L24" s="1">
        <v>197.7</v>
      </c>
      <c r="M24" s="1">
        <v>170.28</v>
      </c>
      <c r="N24" s="1">
        <v>122.46</v>
      </c>
      <c r="O24" s="1">
        <v>200.54000000000002</v>
      </c>
      <c r="P24" s="1">
        <v>168.07999999999998</v>
      </c>
      <c r="Q24" s="1">
        <v>189.72</v>
      </c>
      <c r="R24" s="1">
        <v>179.82</v>
      </c>
      <c r="S24" s="1">
        <v>197.88</v>
      </c>
      <c r="T24" s="1">
        <v>180.88</v>
      </c>
      <c r="U24" s="1">
        <v>172.56</v>
      </c>
      <c r="V24" s="1">
        <v>179.66000000000003</v>
      </c>
      <c r="W24" s="1">
        <v>171.5</v>
      </c>
      <c r="X24" s="1">
        <v>180.8</v>
      </c>
      <c r="Y24" s="1">
        <v>170.04</v>
      </c>
      <c r="Z24" s="1">
        <v>178.26</v>
      </c>
      <c r="AA24" s="1">
        <v>162.22</v>
      </c>
      <c r="AB24" s="1">
        <v>168.1</v>
      </c>
      <c r="AC24" s="1">
        <v>173.34</v>
      </c>
      <c r="AD24" s="1">
        <v>173.04</v>
      </c>
      <c r="AE24" s="1">
        <v>170.07999999999998</v>
      </c>
      <c r="AF24" s="1">
        <v>176.07999999999998</v>
      </c>
      <c r="AG24" s="1">
        <f t="shared" si="1"/>
        <v>2303.6999999999998</v>
      </c>
      <c r="AH24" s="1">
        <f t="shared" si="2"/>
        <v>197.88</v>
      </c>
      <c r="AI24" s="1">
        <f t="shared" si="3"/>
        <v>533.1</v>
      </c>
      <c r="AJ24" s="1">
        <f t="shared" si="4"/>
        <v>171.5</v>
      </c>
      <c r="AK24" s="1">
        <f t="shared" si="5"/>
        <v>180.8</v>
      </c>
      <c r="AL24" s="1">
        <f t="shared" si="6"/>
        <v>1195.08</v>
      </c>
    </row>
    <row r="25" spans="1:38" x14ac:dyDescent="0.3">
      <c r="A25" t="s">
        <v>31</v>
      </c>
      <c r="B25" s="1">
        <v>2022</v>
      </c>
      <c r="C25" t="s">
        <v>40</v>
      </c>
      <c r="D25" t="str">
        <f t="shared" si="0"/>
        <v>2022-October</v>
      </c>
      <c r="E25" s="1">
        <v>10</v>
      </c>
      <c r="F25" s="1">
        <v>167.34</v>
      </c>
      <c r="G25" s="1">
        <v>209.56</v>
      </c>
      <c r="H25" s="1">
        <v>180.96</v>
      </c>
      <c r="I25" s="1">
        <v>172.24</v>
      </c>
      <c r="J25" s="1">
        <v>188.66</v>
      </c>
      <c r="K25" s="1">
        <v>160.58000000000001</v>
      </c>
      <c r="L25" s="1">
        <v>182.02</v>
      </c>
      <c r="M25" s="1">
        <v>170.4</v>
      </c>
      <c r="N25" s="1">
        <v>122.02</v>
      </c>
      <c r="O25" s="1">
        <v>202.76</v>
      </c>
      <c r="P25" s="1">
        <v>171.11999999999998</v>
      </c>
      <c r="Q25" s="1">
        <v>188.95999999999998</v>
      </c>
      <c r="R25" s="1">
        <v>178.04</v>
      </c>
      <c r="S25" s="1">
        <v>197.04</v>
      </c>
      <c r="T25" s="1">
        <v>183.4</v>
      </c>
      <c r="U25" s="1">
        <v>177.22</v>
      </c>
      <c r="V25" s="1">
        <v>182.5</v>
      </c>
      <c r="W25" s="1">
        <v>171.6</v>
      </c>
      <c r="X25" s="1">
        <v>181.35999999999999</v>
      </c>
      <c r="Y25" s="1">
        <v>172.11999999999998</v>
      </c>
      <c r="Z25" s="1">
        <v>180.01999999999998</v>
      </c>
      <c r="AA25" s="1">
        <v>164.01999999999998</v>
      </c>
      <c r="AB25" s="1">
        <v>169.08</v>
      </c>
      <c r="AC25" s="1">
        <v>174.56</v>
      </c>
      <c r="AD25" s="1">
        <v>173.71999999999997</v>
      </c>
      <c r="AE25" s="1">
        <v>171.82</v>
      </c>
      <c r="AF25" s="1">
        <v>176.44</v>
      </c>
      <c r="AG25" s="1">
        <f t="shared" si="1"/>
        <v>2294.66</v>
      </c>
      <c r="AH25" s="1">
        <f t="shared" si="2"/>
        <v>197.04</v>
      </c>
      <c r="AI25" s="1">
        <f t="shared" si="3"/>
        <v>543.12</v>
      </c>
      <c r="AJ25" s="1">
        <f t="shared" si="4"/>
        <v>171.6</v>
      </c>
      <c r="AK25" s="1">
        <f t="shared" si="5"/>
        <v>181.35999999999999</v>
      </c>
      <c r="AL25" s="1">
        <f t="shared" si="6"/>
        <v>1205.3399999999999</v>
      </c>
    </row>
    <row r="26" spans="1:38" x14ac:dyDescent="0.3">
      <c r="A26" t="s">
        <v>28</v>
      </c>
      <c r="B26" s="1">
        <v>2022</v>
      </c>
      <c r="C26" t="s">
        <v>39</v>
      </c>
      <c r="D26" t="str">
        <f t="shared" si="0"/>
        <v>2022-September</v>
      </c>
      <c r="E26" s="1">
        <v>9</v>
      </c>
      <c r="F26" s="1">
        <v>164.48</v>
      </c>
      <c r="G26" s="1">
        <v>210.66</v>
      </c>
      <c r="H26" s="1">
        <v>170.36</v>
      </c>
      <c r="I26" s="1">
        <v>170.24</v>
      </c>
      <c r="J26" s="1">
        <v>186.28</v>
      </c>
      <c r="K26" s="1">
        <v>165.04</v>
      </c>
      <c r="L26" s="1">
        <v>200.58</v>
      </c>
      <c r="M26" s="1">
        <v>169.38</v>
      </c>
      <c r="N26" s="1">
        <v>122</v>
      </c>
      <c r="O26" s="1">
        <v>197.6</v>
      </c>
      <c r="P26" s="1">
        <v>168.66000000000003</v>
      </c>
      <c r="Q26" s="1">
        <v>187.94</v>
      </c>
      <c r="R26" s="1">
        <v>179.16</v>
      </c>
      <c r="S26" s="1">
        <v>197.02</v>
      </c>
      <c r="T26" s="1">
        <v>180.44</v>
      </c>
      <c r="U26" s="1">
        <v>173.26</v>
      </c>
      <c r="V26" s="1">
        <v>179.38</v>
      </c>
      <c r="W26" s="1">
        <v>170.06666666666666</v>
      </c>
      <c r="X26" s="1">
        <v>179.84</v>
      </c>
      <c r="Y26" s="1">
        <v>169.7</v>
      </c>
      <c r="Z26" s="1">
        <v>177.54000000000002</v>
      </c>
      <c r="AA26" s="1">
        <v>162.72000000000003</v>
      </c>
      <c r="AB26" s="1">
        <v>168.06</v>
      </c>
      <c r="AC26" s="1">
        <v>173.58</v>
      </c>
      <c r="AD26" s="1">
        <v>171.42</v>
      </c>
      <c r="AE26" s="1">
        <v>169.92</v>
      </c>
      <c r="AF26" s="1">
        <v>175.8</v>
      </c>
      <c r="AG26" s="1">
        <f t="shared" si="1"/>
        <v>2292.3799999999997</v>
      </c>
      <c r="AH26" s="1">
        <f t="shared" si="2"/>
        <v>197.02</v>
      </c>
      <c r="AI26" s="1">
        <f t="shared" si="3"/>
        <v>533.07999999999993</v>
      </c>
      <c r="AJ26" s="1">
        <f t="shared" si="4"/>
        <v>170.06666666666666</v>
      </c>
      <c r="AK26" s="1">
        <f t="shared" si="5"/>
        <v>179.84</v>
      </c>
      <c r="AL26" s="1">
        <f t="shared" si="6"/>
        <v>1192.94</v>
      </c>
    </row>
    <row r="27" spans="1:38" x14ac:dyDescent="0.3">
      <c r="A27" t="s">
        <v>30</v>
      </c>
      <c r="B27" s="1">
        <v>2022</v>
      </c>
      <c r="C27" t="s">
        <v>39</v>
      </c>
      <c r="D27" t="str">
        <f t="shared" si="0"/>
        <v>2022-September</v>
      </c>
      <c r="E27" s="1">
        <v>9</v>
      </c>
      <c r="F27" s="1">
        <v>164.94</v>
      </c>
      <c r="G27" s="1">
        <v>211.5</v>
      </c>
      <c r="H27" s="1">
        <v>170.74</v>
      </c>
      <c r="I27" s="1">
        <v>170.52</v>
      </c>
      <c r="J27" s="1">
        <v>184.76</v>
      </c>
      <c r="K27" s="1">
        <v>164.98</v>
      </c>
      <c r="L27" s="1">
        <v>205.14</v>
      </c>
      <c r="M27" s="1">
        <v>169.54</v>
      </c>
      <c r="N27" s="1">
        <v>122.22</v>
      </c>
      <c r="O27" s="1">
        <v>197.76</v>
      </c>
      <c r="P27" s="1">
        <v>167.56</v>
      </c>
      <c r="Q27" s="1">
        <v>188.64000000000001</v>
      </c>
      <c r="R27" s="1">
        <v>179.98</v>
      </c>
      <c r="S27" s="1">
        <v>197.38000000000002</v>
      </c>
      <c r="T27" s="1">
        <v>179.88</v>
      </c>
      <c r="U27" s="1">
        <v>171.66</v>
      </c>
      <c r="V27" s="1">
        <v>178.68</v>
      </c>
      <c r="W27" s="1">
        <v>170.35</v>
      </c>
      <c r="X27" s="1">
        <v>180</v>
      </c>
      <c r="Y27" s="1">
        <v>169.06</v>
      </c>
      <c r="Z27" s="1">
        <v>177.24</v>
      </c>
      <c r="AA27" s="1">
        <v>161.92000000000002</v>
      </c>
      <c r="AB27" s="1">
        <v>167.7</v>
      </c>
      <c r="AC27" s="1">
        <v>173.02</v>
      </c>
      <c r="AD27" s="1">
        <v>171.68</v>
      </c>
      <c r="AE27" s="1">
        <v>169.4</v>
      </c>
      <c r="AF27" s="1">
        <v>175.85999999999999</v>
      </c>
      <c r="AG27" s="1">
        <f t="shared" si="1"/>
        <v>2298.2799999999997</v>
      </c>
      <c r="AH27" s="1">
        <f t="shared" si="2"/>
        <v>197.38000000000002</v>
      </c>
      <c r="AI27" s="1">
        <f t="shared" si="3"/>
        <v>530.22</v>
      </c>
      <c r="AJ27" s="1">
        <f t="shared" si="4"/>
        <v>170.35</v>
      </c>
      <c r="AK27" s="1">
        <f t="shared" si="5"/>
        <v>180</v>
      </c>
      <c r="AL27" s="1">
        <f t="shared" si="6"/>
        <v>1190.0200000000002</v>
      </c>
    </row>
    <row r="28" spans="1:38" x14ac:dyDescent="0.3">
      <c r="A28" t="s">
        <v>31</v>
      </c>
      <c r="B28" s="1">
        <v>2022</v>
      </c>
      <c r="C28" t="s">
        <v>39</v>
      </c>
      <c r="D28" t="str">
        <f t="shared" si="0"/>
        <v>2022-September</v>
      </c>
      <c r="E28" s="1">
        <v>9</v>
      </c>
      <c r="F28" s="1">
        <v>165.34</v>
      </c>
      <c r="G28" s="1">
        <v>210.2</v>
      </c>
      <c r="H28" s="1">
        <v>172.6</v>
      </c>
      <c r="I28" s="1">
        <v>170.96</v>
      </c>
      <c r="J28" s="1">
        <v>187.7</v>
      </c>
      <c r="K28" s="1">
        <v>163.30000000000001</v>
      </c>
      <c r="L28" s="1">
        <v>195.3</v>
      </c>
      <c r="M28" s="1">
        <v>169.74</v>
      </c>
      <c r="N28" s="1">
        <v>121.9</v>
      </c>
      <c r="O28" s="1">
        <v>200</v>
      </c>
      <c r="P28" s="1">
        <v>170.62</v>
      </c>
      <c r="Q28" s="1">
        <v>187.94</v>
      </c>
      <c r="R28" s="1">
        <v>178.94</v>
      </c>
      <c r="S28" s="1">
        <v>196.54000000000002</v>
      </c>
      <c r="T28" s="1">
        <v>182.32</v>
      </c>
      <c r="U28" s="1">
        <v>176.36000000000004</v>
      </c>
      <c r="V28" s="1">
        <v>181.45999999999998</v>
      </c>
      <c r="W28" s="1">
        <v>170.63333333333333</v>
      </c>
      <c r="X28" s="1">
        <v>180.54</v>
      </c>
      <c r="Y28" s="1">
        <v>171.16</v>
      </c>
      <c r="Z28" s="1">
        <v>178.94</v>
      </c>
      <c r="AA28" s="1">
        <v>163.78000000000003</v>
      </c>
      <c r="AB28" s="1">
        <v>168.7</v>
      </c>
      <c r="AC28" s="1">
        <v>174.21999999999997</v>
      </c>
      <c r="AD28" s="1">
        <v>172.14000000000001</v>
      </c>
      <c r="AE28" s="1">
        <v>171.10000000000002</v>
      </c>
      <c r="AF28" s="1">
        <v>176.6</v>
      </c>
      <c r="AG28" s="1">
        <f t="shared" si="1"/>
        <v>2294.54</v>
      </c>
      <c r="AH28" s="1">
        <f t="shared" si="2"/>
        <v>196.54000000000002</v>
      </c>
      <c r="AI28" s="1">
        <f t="shared" si="3"/>
        <v>540.1400000000001</v>
      </c>
      <c r="AJ28" s="1">
        <f t="shared" si="4"/>
        <v>170.63333333333333</v>
      </c>
      <c r="AK28" s="1">
        <f t="shared" si="5"/>
        <v>180.54</v>
      </c>
      <c r="AL28" s="1">
        <f t="shared" si="6"/>
        <v>1200.0400000000004</v>
      </c>
    </row>
    <row r="29" spans="1:38" x14ac:dyDescent="0.3">
      <c r="A29" t="s">
        <v>28</v>
      </c>
      <c r="B29" s="1">
        <v>2022</v>
      </c>
      <c r="C29" t="s">
        <v>38</v>
      </c>
      <c r="D29" t="str">
        <f t="shared" si="0"/>
        <v>2022-August</v>
      </c>
      <c r="E29" s="1">
        <v>8</v>
      </c>
      <c r="F29" s="1">
        <v>161.94</v>
      </c>
      <c r="G29" s="1">
        <v>208.38</v>
      </c>
      <c r="H29" s="1">
        <v>169.6</v>
      </c>
      <c r="I29" s="1">
        <v>168.8</v>
      </c>
      <c r="J29" s="1">
        <v>189.28</v>
      </c>
      <c r="K29" s="1">
        <v>170.16</v>
      </c>
      <c r="L29" s="1">
        <v>194.12</v>
      </c>
      <c r="M29" s="1">
        <v>167.96</v>
      </c>
      <c r="N29" s="1">
        <v>121.44</v>
      </c>
      <c r="O29" s="1">
        <v>194.32</v>
      </c>
      <c r="P29" s="1">
        <v>168.12</v>
      </c>
      <c r="Q29" s="1">
        <v>186.88</v>
      </c>
      <c r="R29" s="1">
        <v>177.58</v>
      </c>
      <c r="S29" s="1">
        <v>196.32</v>
      </c>
      <c r="T29" s="1">
        <v>179.21999999999997</v>
      </c>
      <c r="U29" s="1">
        <v>171.88000000000002</v>
      </c>
      <c r="V29" s="1">
        <v>178.12</v>
      </c>
      <c r="W29" s="1">
        <v>169.16666666666666</v>
      </c>
      <c r="X29" s="1">
        <v>179.04000000000002</v>
      </c>
      <c r="Y29" s="1">
        <v>168.72</v>
      </c>
      <c r="Z29" s="1">
        <v>176.56</v>
      </c>
      <c r="AA29" s="1">
        <v>162.26</v>
      </c>
      <c r="AB29" s="1">
        <v>167.42</v>
      </c>
      <c r="AC29" s="1">
        <v>173.00000000000003</v>
      </c>
      <c r="AD29" s="1">
        <v>171.12</v>
      </c>
      <c r="AE29" s="1">
        <v>169.26000000000002</v>
      </c>
      <c r="AF29" s="1">
        <v>174.64000000000001</v>
      </c>
      <c r="AG29" s="1">
        <f t="shared" si="1"/>
        <v>2278.5800000000004</v>
      </c>
      <c r="AH29" s="1">
        <f t="shared" si="2"/>
        <v>196.32</v>
      </c>
      <c r="AI29" s="1">
        <f t="shared" si="3"/>
        <v>529.22</v>
      </c>
      <c r="AJ29" s="1">
        <f t="shared" si="4"/>
        <v>169.16666666666666</v>
      </c>
      <c r="AK29" s="1">
        <f t="shared" si="5"/>
        <v>179.04000000000002</v>
      </c>
      <c r="AL29" s="1">
        <f t="shared" si="6"/>
        <v>1188.3399999999999</v>
      </c>
    </row>
    <row r="30" spans="1:38" x14ac:dyDescent="0.3">
      <c r="A30" t="s">
        <v>30</v>
      </c>
      <c r="B30" s="1">
        <v>2022</v>
      </c>
      <c r="C30" t="s">
        <v>38</v>
      </c>
      <c r="D30" t="str">
        <f t="shared" si="0"/>
        <v>2022-August</v>
      </c>
      <c r="E30" s="1">
        <v>8</v>
      </c>
      <c r="F30" s="1">
        <v>162.74</v>
      </c>
      <c r="G30" s="1">
        <v>209.4</v>
      </c>
      <c r="H30" s="1">
        <v>169.88</v>
      </c>
      <c r="I30" s="1">
        <v>169.16</v>
      </c>
      <c r="J30" s="1">
        <v>187.4</v>
      </c>
      <c r="K30" s="1">
        <v>169.46</v>
      </c>
      <c r="L30" s="1">
        <v>197.86</v>
      </c>
      <c r="M30" s="1">
        <v>168.36</v>
      </c>
      <c r="N30" s="1">
        <v>121.72</v>
      </c>
      <c r="O30" s="1">
        <v>194.66</v>
      </c>
      <c r="P30" s="1">
        <v>167.04000000000002</v>
      </c>
      <c r="Q30" s="1">
        <v>187.56</v>
      </c>
      <c r="R30" s="1">
        <v>178.35999999999999</v>
      </c>
      <c r="S30" s="1">
        <v>196.76000000000002</v>
      </c>
      <c r="T30" s="1">
        <v>178.76</v>
      </c>
      <c r="U30" s="1">
        <v>170.4</v>
      </c>
      <c r="V30" s="1">
        <v>177.5</v>
      </c>
      <c r="W30" s="1">
        <v>169.25</v>
      </c>
      <c r="X30" s="1">
        <v>179.12000000000003</v>
      </c>
      <c r="Y30" s="1">
        <v>168.16</v>
      </c>
      <c r="Z30" s="1">
        <v>176.23999999999995</v>
      </c>
      <c r="AA30" s="1">
        <v>161.4</v>
      </c>
      <c r="AB30" s="1">
        <v>167.07999999999998</v>
      </c>
      <c r="AC30" s="1">
        <v>172.48000000000002</v>
      </c>
      <c r="AD30" s="1">
        <v>171.08</v>
      </c>
      <c r="AE30" s="1">
        <v>168.68</v>
      </c>
      <c r="AF30" s="1">
        <v>174.64000000000001</v>
      </c>
      <c r="AG30" s="1">
        <f t="shared" si="1"/>
        <v>2283.6000000000004</v>
      </c>
      <c r="AH30" s="1">
        <f t="shared" si="2"/>
        <v>196.76000000000002</v>
      </c>
      <c r="AI30" s="1">
        <f t="shared" si="3"/>
        <v>526.66</v>
      </c>
      <c r="AJ30" s="1">
        <f t="shared" si="4"/>
        <v>169.25</v>
      </c>
      <c r="AK30" s="1">
        <f t="shared" si="5"/>
        <v>179.12000000000003</v>
      </c>
      <c r="AL30" s="1">
        <f t="shared" si="6"/>
        <v>1185.1199999999999</v>
      </c>
    </row>
    <row r="31" spans="1:38" x14ac:dyDescent="0.3">
      <c r="A31" t="s">
        <v>31</v>
      </c>
      <c r="B31" s="1">
        <v>2022</v>
      </c>
      <c r="C31" t="s">
        <v>38</v>
      </c>
      <c r="D31" t="str">
        <f t="shared" si="0"/>
        <v>2022-August</v>
      </c>
      <c r="E31" s="1">
        <v>8</v>
      </c>
      <c r="F31" s="1">
        <v>163.26</v>
      </c>
      <c r="G31" s="1">
        <v>208.98</v>
      </c>
      <c r="H31" s="1">
        <v>169.82</v>
      </c>
      <c r="I31" s="1">
        <v>169.66</v>
      </c>
      <c r="J31" s="1">
        <v>189.22</v>
      </c>
      <c r="K31" s="1">
        <v>166.48</v>
      </c>
      <c r="L31" s="1">
        <v>192.2</v>
      </c>
      <c r="M31" s="1">
        <v>168.84</v>
      </c>
      <c r="N31" s="1">
        <v>121.5</v>
      </c>
      <c r="O31" s="1">
        <v>197.04</v>
      </c>
      <c r="P31" s="1">
        <v>170.1</v>
      </c>
      <c r="Q31" s="1">
        <v>186.9</v>
      </c>
      <c r="R31" s="1">
        <v>177.76000000000002</v>
      </c>
      <c r="S31" s="1">
        <v>196</v>
      </c>
      <c r="T31" s="1">
        <v>181.24</v>
      </c>
      <c r="U31" s="1">
        <v>175.28</v>
      </c>
      <c r="V31" s="1">
        <v>180.35999999999999</v>
      </c>
      <c r="W31" s="1">
        <v>169.33333333333334</v>
      </c>
      <c r="X31" s="1">
        <v>179.6</v>
      </c>
      <c r="Y31" s="1">
        <v>170.2</v>
      </c>
      <c r="Z31" s="1">
        <v>177.95999999999998</v>
      </c>
      <c r="AA31" s="1">
        <v>163.33999999999997</v>
      </c>
      <c r="AB31" s="1">
        <v>168.18</v>
      </c>
      <c r="AC31" s="1">
        <v>173.8</v>
      </c>
      <c r="AD31" s="1">
        <v>171.2</v>
      </c>
      <c r="AE31" s="1">
        <v>170.38</v>
      </c>
      <c r="AF31" s="1">
        <v>175.60000000000002</v>
      </c>
      <c r="AG31" s="1">
        <f t="shared" si="1"/>
        <v>2281.7599999999998</v>
      </c>
      <c r="AH31" s="1">
        <f t="shared" si="2"/>
        <v>196</v>
      </c>
      <c r="AI31" s="1">
        <f t="shared" si="3"/>
        <v>536.88</v>
      </c>
      <c r="AJ31" s="1">
        <f t="shared" si="4"/>
        <v>169.33333333333334</v>
      </c>
      <c r="AK31" s="1">
        <f t="shared" si="5"/>
        <v>179.6</v>
      </c>
      <c r="AL31" s="1">
        <f t="shared" si="6"/>
        <v>1195.06</v>
      </c>
    </row>
    <row r="32" spans="1:38" x14ac:dyDescent="0.3">
      <c r="A32" t="s">
        <v>28</v>
      </c>
      <c r="B32" s="1">
        <v>2022</v>
      </c>
      <c r="C32" t="s">
        <v>37</v>
      </c>
      <c r="D32" t="str">
        <f t="shared" si="0"/>
        <v>2022-July</v>
      </c>
      <c r="E32" s="1">
        <v>7</v>
      </c>
      <c r="F32" s="1">
        <v>158.52000000000001</v>
      </c>
      <c r="G32" s="1">
        <v>211.18</v>
      </c>
      <c r="H32" s="1">
        <v>173</v>
      </c>
      <c r="I32" s="1">
        <v>167.26</v>
      </c>
      <c r="J32" s="1">
        <v>192.68</v>
      </c>
      <c r="K32" s="1">
        <v>173.92</v>
      </c>
      <c r="L32" s="1">
        <v>189.08</v>
      </c>
      <c r="M32" s="1">
        <v>165.42</v>
      </c>
      <c r="N32" s="1">
        <v>120.62</v>
      </c>
      <c r="O32" s="1">
        <v>190.68</v>
      </c>
      <c r="P32" s="1">
        <v>167.6</v>
      </c>
      <c r="Q32" s="1">
        <v>185.78</v>
      </c>
      <c r="R32" s="1">
        <v>176.23999999999998</v>
      </c>
      <c r="S32" s="1">
        <v>195.76</v>
      </c>
      <c r="T32" s="1">
        <v>177.98000000000002</v>
      </c>
      <c r="U32" s="1">
        <v>170.4</v>
      </c>
      <c r="V32" s="1">
        <v>176.83999999999997</v>
      </c>
      <c r="W32" s="1">
        <v>168.20000000000002</v>
      </c>
      <c r="X32" s="1">
        <v>179.24</v>
      </c>
      <c r="Y32" s="1">
        <v>167.66</v>
      </c>
      <c r="Z32" s="1">
        <v>175.72</v>
      </c>
      <c r="AA32" s="1">
        <v>161.92000000000002</v>
      </c>
      <c r="AB32" s="1">
        <v>166.78</v>
      </c>
      <c r="AC32" s="1">
        <v>172.15999999999997</v>
      </c>
      <c r="AD32" s="1">
        <v>170.33999999999997</v>
      </c>
      <c r="AE32" s="1">
        <v>168.57999999999998</v>
      </c>
      <c r="AF32" s="1">
        <v>173.68</v>
      </c>
      <c r="AG32" s="1">
        <f t="shared" si="1"/>
        <v>2271.98</v>
      </c>
      <c r="AH32" s="1">
        <f t="shared" si="2"/>
        <v>195.76</v>
      </c>
      <c r="AI32" s="1">
        <f t="shared" si="3"/>
        <v>525.22</v>
      </c>
      <c r="AJ32" s="1">
        <f t="shared" si="4"/>
        <v>168.20000000000002</v>
      </c>
      <c r="AK32" s="1">
        <f t="shared" si="5"/>
        <v>179.24</v>
      </c>
      <c r="AL32" s="1">
        <f t="shared" si="6"/>
        <v>1183.1599999999999</v>
      </c>
    </row>
    <row r="33" spans="1:38" x14ac:dyDescent="0.3">
      <c r="A33" t="s">
        <v>30</v>
      </c>
      <c r="B33" s="1">
        <v>2022</v>
      </c>
      <c r="C33" t="s">
        <v>37</v>
      </c>
      <c r="D33" t="str">
        <f t="shared" si="0"/>
        <v>2022-July</v>
      </c>
      <c r="E33" s="1">
        <v>7</v>
      </c>
      <c r="F33" s="1">
        <v>159.54</v>
      </c>
      <c r="G33" s="1">
        <v>210.32</v>
      </c>
      <c r="H33" s="1">
        <v>171.98</v>
      </c>
      <c r="I33" s="1">
        <v>167.62</v>
      </c>
      <c r="J33" s="1">
        <v>190.72</v>
      </c>
      <c r="K33" s="1">
        <v>174.58</v>
      </c>
      <c r="L33" s="1">
        <v>192.7</v>
      </c>
      <c r="M33" s="1">
        <v>165.98</v>
      </c>
      <c r="N33" s="1">
        <v>120.96</v>
      </c>
      <c r="O33" s="1">
        <v>191.04</v>
      </c>
      <c r="P33" s="1">
        <v>166.45999999999998</v>
      </c>
      <c r="Q33" s="1">
        <v>186.42</v>
      </c>
      <c r="R33" s="1">
        <v>177</v>
      </c>
      <c r="S33" s="1">
        <v>196.11999999999998</v>
      </c>
      <c r="T33" s="1">
        <v>177.48000000000002</v>
      </c>
      <c r="U33" s="1">
        <v>168.88000000000002</v>
      </c>
      <c r="V33" s="1">
        <v>176.2</v>
      </c>
      <c r="W33" s="1">
        <v>168.4</v>
      </c>
      <c r="X33" s="1">
        <v>179.08</v>
      </c>
      <c r="Y33" s="1">
        <v>167.1</v>
      </c>
      <c r="Z33" s="1">
        <v>175.32</v>
      </c>
      <c r="AA33" s="1">
        <v>161.04</v>
      </c>
      <c r="AB33" s="1">
        <v>166.44</v>
      </c>
      <c r="AC33" s="1">
        <v>171.68</v>
      </c>
      <c r="AD33" s="1">
        <v>170.64000000000001</v>
      </c>
      <c r="AE33" s="1">
        <v>168.04000000000002</v>
      </c>
      <c r="AF33" s="1">
        <v>173.68</v>
      </c>
      <c r="AG33" s="1">
        <f t="shared" si="1"/>
        <v>2275.3200000000002</v>
      </c>
      <c r="AH33" s="1">
        <f t="shared" si="2"/>
        <v>196.11999999999998</v>
      </c>
      <c r="AI33" s="1">
        <f t="shared" si="3"/>
        <v>522.55999999999995</v>
      </c>
      <c r="AJ33" s="1">
        <f t="shared" si="4"/>
        <v>168.4</v>
      </c>
      <c r="AK33" s="1">
        <f t="shared" si="5"/>
        <v>179.08</v>
      </c>
      <c r="AL33" s="1">
        <f t="shared" si="6"/>
        <v>1180.26</v>
      </c>
    </row>
    <row r="34" spans="1:38" x14ac:dyDescent="0.3">
      <c r="A34" t="s">
        <v>31</v>
      </c>
      <c r="B34" s="1">
        <v>2022</v>
      </c>
      <c r="C34" t="s">
        <v>37</v>
      </c>
      <c r="D34" t="str">
        <f t="shared" si="0"/>
        <v>2022-July</v>
      </c>
      <c r="E34" s="1">
        <v>7</v>
      </c>
      <c r="F34" s="1">
        <v>160.26</v>
      </c>
      <c r="G34" s="1">
        <v>208.24</v>
      </c>
      <c r="H34" s="1">
        <v>170.46</v>
      </c>
      <c r="I34" s="1">
        <v>168.1</v>
      </c>
      <c r="J34" s="1">
        <v>192.58</v>
      </c>
      <c r="K34" s="1">
        <v>171.5</v>
      </c>
      <c r="L34" s="1">
        <v>186.38</v>
      </c>
      <c r="M34" s="1">
        <v>166.98</v>
      </c>
      <c r="N34" s="1">
        <v>120.82</v>
      </c>
      <c r="O34" s="1">
        <v>193.6</v>
      </c>
      <c r="P34" s="1">
        <v>169.57999999999998</v>
      </c>
      <c r="Q34" s="1">
        <v>185.84</v>
      </c>
      <c r="R34" s="1">
        <v>176.21999999999997</v>
      </c>
      <c r="S34" s="1">
        <v>195.3</v>
      </c>
      <c r="T34" s="1">
        <v>179.88000000000002</v>
      </c>
      <c r="U34" s="1">
        <v>173.8</v>
      </c>
      <c r="V34" s="1">
        <v>178.98</v>
      </c>
      <c r="W34" s="1">
        <v>168.6</v>
      </c>
      <c r="X34" s="1">
        <v>179.12000000000003</v>
      </c>
      <c r="Y34" s="1">
        <v>169.20000000000002</v>
      </c>
      <c r="Z34" s="1">
        <v>177.02000000000004</v>
      </c>
      <c r="AA34" s="1">
        <v>162.94</v>
      </c>
      <c r="AB34" s="1">
        <v>167.52</v>
      </c>
      <c r="AC34" s="1">
        <v>173.1</v>
      </c>
      <c r="AD34" s="1">
        <v>170.83999999999997</v>
      </c>
      <c r="AE34" s="1">
        <v>169.72</v>
      </c>
      <c r="AF34" s="1">
        <v>174.50000000000003</v>
      </c>
      <c r="AG34" s="1">
        <f t="shared" si="1"/>
        <v>2270.5599999999995</v>
      </c>
      <c r="AH34" s="1">
        <f t="shared" si="2"/>
        <v>195.3</v>
      </c>
      <c r="AI34" s="1">
        <f t="shared" si="3"/>
        <v>532.66000000000008</v>
      </c>
      <c r="AJ34" s="1">
        <f t="shared" si="4"/>
        <v>168.6</v>
      </c>
      <c r="AK34" s="1">
        <f t="shared" si="5"/>
        <v>179.12000000000003</v>
      </c>
      <c r="AL34" s="1">
        <f t="shared" si="6"/>
        <v>1190.3400000000001</v>
      </c>
    </row>
    <row r="35" spans="1:38" x14ac:dyDescent="0.3">
      <c r="A35" t="s">
        <v>28</v>
      </c>
      <c r="B35" s="1">
        <v>2022</v>
      </c>
      <c r="C35" t="s">
        <v>36</v>
      </c>
      <c r="D35" t="str">
        <f t="shared" si="0"/>
        <v>2022-June</v>
      </c>
      <c r="E35" s="1">
        <v>6</v>
      </c>
      <c r="F35" s="1">
        <v>156.16</v>
      </c>
      <c r="G35" s="1">
        <v>217.58</v>
      </c>
      <c r="H35" s="1">
        <v>172.82</v>
      </c>
      <c r="I35" s="1">
        <v>166.2</v>
      </c>
      <c r="J35" s="1">
        <v>196.92</v>
      </c>
      <c r="K35" s="1">
        <v>171.74</v>
      </c>
      <c r="L35" s="1">
        <v>187.64</v>
      </c>
      <c r="M35" s="1">
        <v>164.18</v>
      </c>
      <c r="N35" s="1">
        <v>120.22</v>
      </c>
      <c r="O35" s="1">
        <v>187.51999999999998</v>
      </c>
      <c r="P35" s="1">
        <v>167.1</v>
      </c>
      <c r="Q35" s="1">
        <v>184.58</v>
      </c>
      <c r="R35" s="1">
        <v>175.7</v>
      </c>
      <c r="S35" s="1">
        <v>195.46</v>
      </c>
      <c r="T35" s="1">
        <v>176.82</v>
      </c>
      <c r="U35" s="1">
        <v>169</v>
      </c>
      <c r="V35" s="1">
        <v>175.62</v>
      </c>
      <c r="W35" s="1">
        <v>167.13333333333335</v>
      </c>
      <c r="X35" s="1">
        <v>177.34</v>
      </c>
      <c r="Y35" s="1">
        <v>166.64</v>
      </c>
      <c r="Z35" s="1">
        <v>175</v>
      </c>
      <c r="AA35" s="1">
        <v>161.49999999999997</v>
      </c>
      <c r="AB35" s="1">
        <v>166.22</v>
      </c>
      <c r="AC35" s="1">
        <v>170.38</v>
      </c>
      <c r="AD35" s="1">
        <v>169.51999999999998</v>
      </c>
      <c r="AE35" s="1">
        <v>167.76</v>
      </c>
      <c r="AF35" s="1">
        <v>172.84</v>
      </c>
      <c r="AG35" s="1">
        <f t="shared" si="1"/>
        <v>2268.3599999999997</v>
      </c>
      <c r="AH35" s="1">
        <f t="shared" si="2"/>
        <v>195.46</v>
      </c>
      <c r="AI35" s="1">
        <f t="shared" si="3"/>
        <v>521.44000000000005</v>
      </c>
      <c r="AJ35" s="1">
        <f t="shared" si="4"/>
        <v>167.13333333333335</v>
      </c>
      <c r="AK35" s="1">
        <f t="shared" si="5"/>
        <v>177.34</v>
      </c>
      <c r="AL35" s="1">
        <f t="shared" si="6"/>
        <v>1177.02</v>
      </c>
    </row>
    <row r="36" spans="1:38" x14ac:dyDescent="0.3">
      <c r="A36" t="s">
        <v>30</v>
      </c>
      <c r="B36" s="1">
        <v>2022</v>
      </c>
      <c r="C36" t="s">
        <v>36</v>
      </c>
      <c r="D36" t="str">
        <f t="shared" si="0"/>
        <v>2022-June</v>
      </c>
      <c r="E36" s="1">
        <v>6</v>
      </c>
      <c r="F36" s="1">
        <v>156.69999999999999</v>
      </c>
      <c r="G36" s="1">
        <v>216.74</v>
      </c>
      <c r="H36" s="1">
        <v>173.94</v>
      </c>
      <c r="I36" s="1">
        <v>166.44</v>
      </c>
      <c r="J36" s="1">
        <v>194.46</v>
      </c>
      <c r="K36" s="1">
        <v>173.42</v>
      </c>
      <c r="L36" s="1">
        <v>190.6</v>
      </c>
      <c r="M36" s="1">
        <v>164.12</v>
      </c>
      <c r="N36" s="1">
        <v>120.4</v>
      </c>
      <c r="O36" s="1">
        <v>187.74</v>
      </c>
      <c r="P36" s="1">
        <v>165.94</v>
      </c>
      <c r="Q36" s="1">
        <v>185.24</v>
      </c>
      <c r="R36" s="1">
        <v>176.22</v>
      </c>
      <c r="S36" s="1">
        <v>195.8</v>
      </c>
      <c r="T36" s="1">
        <v>176.34</v>
      </c>
      <c r="U36" s="1">
        <v>167.51999999999998</v>
      </c>
      <c r="V36" s="1">
        <v>175</v>
      </c>
      <c r="W36" s="1">
        <v>167.3</v>
      </c>
      <c r="X36" s="1">
        <v>177.92000000000002</v>
      </c>
      <c r="Y36" s="1">
        <v>166.06</v>
      </c>
      <c r="Z36" s="1">
        <v>174.57999999999998</v>
      </c>
      <c r="AA36" s="1">
        <v>160.72</v>
      </c>
      <c r="AB36" s="1">
        <v>165.88000000000002</v>
      </c>
      <c r="AC36" s="1">
        <v>170.14</v>
      </c>
      <c r="AD36" s="1">
        <v>169.56</v>
      </c>
      <c r="AE36" s="1">
        <v>167.23999999999998</v>
      </c>
      <c r="AF36" s="1">
        <v>172.79999999999998</v>
      </c>
      <c r="AG36" s="1">
        <f t="shared" si="1"/>
        <v>2271.96</v>
      </c>
      <c r="AH36" s="1">
        <f t="shared" si="2"/>
        <v>195.8</v>
      </c>
      <c r="AI36" s="1">
        <f t="shared" si="3"/>
        <v>518.86</v>
      </c>
      <c r="AJ36" s="1">
        <f t="shared" si="4"/>
        <v>167.3</v>
      </c>
      <c r="AK36" s="1">
        <f t="shared" si="5"/>
        <v>177.92000000000002</v>
      </c>
      <c r="AL36" s="1">
        <f t="shared" si="6"/>
        <v>1174.18</v>
      </c>
    </row>
    <row r="37" spans="1:38" x14ac:dyDescent="0.3">
      <c r="A37" t="s">
        <v>31</v>
      </c>
      <c r="B37" s="1">
        <v>2022</v>
      </c>
      <c r="C37" t="s">
        <v>36</v>
      </c>
      <c r="D37" t="str">
        <f t="shared" si="0"/>
        <v>2022-June</v>
      </c>
      <c r="E37" s="1">
        <v>6</v>
      </c>
      <c r="F37" s="1">
        <v>157.1</v>
      </c>
      <c r="G37" s="1">
        <v>212.88</v>
      </c>
      <c r="H37" s="1">
        <v>173.04</v>
      </c>
      <c r="I37" s="1">
        <v>166.74</v>
      </c>
      <c r="J37" s="1">
        <v>196.36</v>
      </c>
      <c r="K37" s="1">
        <v>172.44</v>
      </c>
      <c r="L37" s="1">
        <v>182.92</v>
      </c>
      <c r="M37" s="1">
        <v>164.82</v>
      </c>
      <c r="N37" s="1">
        <v>120.16</v>
      </c>
      <c r="O37" s="1">
        <v>190.16000000000003</v>
      </c>
      <c r="P37" s="1">
        <v>169.08</v>
      </c>
      <c r="Q37" s="1">
        <v>184.78000000000003</v>
      </c>
      <c r="R37" s="1">
        <v>175.14</v>
      </c>
      <c r="S37" s="1">
        <v>194.88000000000002</v>
      </c>
      <c r="T37" s="1">
        <v>178.66</v>
      </c>
      <c r="U37" s="1">
        <v>172.38000000000002</v>
      </c>
      <c r="V37" s="1">
        <v>177.71999999999997</v>
      </c>
      <c r="W37" s="1">
        <v>167.46666666666667</v>
      </c>
      <c r="X37" s="1">
        <v>178.76000000000002</v>
      </c>
      <c r="Y37" s="1">
        <v>168.1</v>
      </c>
      <c r="Z37" s="1">
        <v>176.28000000000003</v>
      </c>
      <c r="AA37" s="1">
        <v>162.6</v>
      </c>
      <c r="AB37" s="1">
        <v>166.92</v>
      </c>
      <c r="AC37" s="1">
        <v>171.97999999999996</v>
      </c>
      <c r="AD37" s="1">
        <v>169.94</v>
      </c>
      <c r="AE37" s="1">
        <v>169</v>
      </c>
      <c r="AF37" s="1">
        <v>173.58</v>
      </c>
      <c r="AG37" s="1">
        <f t="shared" si="1"/>
        <v>2265.62</v>
      </c>
      <c r="AH37" s="1">
        <f t="shared" si="2"/>
        <v>194.88000000000002</v>
      </c>
      <c r="AI37" s="1">
        <f t="shared" si="3"/>
        <v>528.76</v>
      </c>
      <c r="AJ37" s="1">
        <f t="shared" si="4"/>
        <v>167.46666666666667</v>
      </c>
      <c r="AK37" s="1">
        <f t="shared" si="5"/>
        <v>178.76000000000002</v>
      </c>
      <c r="AL37" s="1">
        <f t="shared" si="6"/>
        <v>1184.82</v>
      </c>
    </row>
    <row r="38" spans="1:38" x14ac:dyDescent="0.3">
      <c r="A38" t="s">
        <v>28</v>
      </c>
      <c r="B38" s="1">
        <v>2022</v>
      </c>
      <c r="C38" t="s">
        <v>35</v>
      </c>
      <c r="D38" t="str">
        <f t="shared" si="0"/>
        <v>2022-May</v>
      </c>
      <c r="E38" s="1">
        <v>5</v>
      </c>
      <c r="F38" s="1">
        <v>155</v>
      </c>
      <c r="G38" s="1">
        <v>218.7</v>
      </c>
      <c r="H38" s="1">
        <v>166.06</v>
      </c>
      <c r="I38" s="1">
        <v>165.34</v>
      </c>
      <c r="J38" s="1">
        <v>199.7</v>
      </c>
      <c r="K38" s="1">
        <v>170.68</v>
      </c>
      <c r="L38" s="1">
        <v>183.46</v>
      </c>
      <c r="M38" s="1">
        <v>164.4</v>
      </c>
      <c r="N38" s="1">
        <v>120.06</v>
      </c>
      <c r="O38" s="1">
        <v>185.06</v>
      </c>
      <c r="P38" s="1">
        <v>166.42000000000002</v>
      </c>
      <c r="Q38" s="1">
        <v>183.2</v>
      </c>
      <c r="R38" s="1">
        <v>174.66</v>
      </c>
      <c r="S38" s="1">
        <v>195.14000000000001</v>
      </c>
      <c r="T38" s="1">
        <v>175.44</v>
      </c>
      <c r="U38" s="1">
        <v>167.52</v>
      </c>
      <c r="V38" s="1">
        <v>174.23999999999998</v>
      </c>
      <c r="W38" s="1">
        <v>167.26666666666668</v>
      </c>
      <c r="X38" s="1">
        <v>174.99999999999997</v>
      </c>
      <c r="Y38" s="1">
        <v>165.52</v>
      </c>
      <c r="Z38" s="1">
        <v>174.33999999999997</v>
      </c>
      <c r="AA38" s="1">
        <v>162.44</v>
      </c>
      <c r="AB38" s="1">
        <v>165.6</v>
      </c>
      <c r="AC38" s="1">
        <v>168.8</v>
      </c>
      <c r="AD38" s="1">
        <v>168.76</v>
      </c>
      <c r="AE38" s="1">
        <v>167.4</v>
      </c>
      <c r="AF38" s="1">
        <v>172</v>
      </c>
      <c r="AG38" s="1">
        <f t="shared" si="1"/>
        <v>2252.7399999999998</v>
      </c>
      <c r="AH38" s="1">
        <f t="shared" si="2"/>
        <v>195.14000000000001</v>
      </c>
      <c r="AI38" s="1">
        <f t="shared" si="3"/>
        <v>517.20000000000005</v>
      </c>
      <c r="AJ38" s="1">
        <f t="shared" si="4"/>
        <v>167.26666666666668</v>
      </c>
      <c r="AK38" s="1">
        <f t="shared" si="5"/>
        <v>174.99999999999997</v>
      </c>
      <c r="AL38" s="1">
        <f t="shared" si="6"/>
        <v>1172.8600000000001</v>
      </c>
    </row>
    <row r="39" spans="1:38" x14ac:dyDescent="0.3">
      <c r="A39" t="s">
        <v>30</v>
      </c>
      <c r="B39" s="1">
        <v>2022</v>
      </c>
      <c r="C39" t="s">
        <v>35</v>
      </c>
      <c r="D39" t="str">
        <f t="shared" si="0"/>
        <v>2022-May</v>
      </c>
      <c r="E39" s="1">
        <v>5</v>
      </c>
      <c r="F39" s="1">
        <v>155.41999999999999</v>
      </c>
      <c r="G39" s="1">
        <v>219.64</v>
      </c>
      <c r="H39" s="1">
        <v>167.94</v>
      </c>
      <c r="I39" s="1">
        <v>165.58</v>
      </c>
      <c r="J39" s="1">
        <v>197.9</v>
      </c>
      <c r="K39" s="1">
        <v>171.02</v>
      </c>
      <c r="L39" s="1">
        <v>187.84</v>
      </c>
      <c r="M39" s="1">
        <v>164.26</v>
      </c>
      <c r="N39" s="1">
        <v>120.26</v>
      </c>
      <c r="O39" s="1">
        <v>185.16000000000003</v>
      </c>
      <c r="P39" s="1">
        <v>165.35999999999999</v>
      </c>
      <c r="Q39" s="1">
        <v>183.89999999999998</v>
      </c>
      <c r="R39" s="1">
        <v>175.48</v>
      </c>
      <c r="S39" s="1">
        <v>195.42</v>
      </c>
      <c r="T39" s="1">
        <v>175</v>
      </c>
      <c r="U39" s="1">
        <v>166.06</v>
      </c>
      <c r="V39" s="1">
        <v>173.64</v>
      </c>
      <c r="W39" s="1">
        <v>167.15</v>
      </c>
      <c r="X39" s="1">
        <v>175.14</v>
      </c>
      <c r="Y39" s="1">
        <v>165.01999999999998</v>
      </c>
      <c r="Z39" s="1">
        <v>173.87999999999997</v>
      </c>
      <c r="AA39" s="1">
        <v>161.23999999999998</v>
      </c>
      <c r="AB39" s="1">
        <v>165.24</v>
      </c>
      <c r="AC39" s="1">
        <v>168.24</v>
      </c>
      <c r="AD39" s="1">
        <v>168.94</v>
      </c>
      <c r="AE39" s="1">
        <v>166.72</v>
      </c>
      <c r="AF39" s="1">
        <v>172.02</v>
      </c>
      <c r="AG39" s="1">
        <f t="shared" si="1"/>
        <v>2259.7599999999998</v>
      </c>
      <c r="AH39" s="1">
        <f t="shared" si="2"/>
        <v>195.42</v>
      </c>
      <c r="AI39" s="1">
        <f t="shared" si="3"/>
        <v>514.70000000000005</v>
      </c>
      <c r="AJ39" s="1">
        <f t="shared" si="4"/>
        <v>167.15</v>
      </c>
      <c r="AK39" s="1">
        <f t="shared" si="5"/>
        <v>175.14</v>
      </c>
      <c r="AL39" s="1">
        <f t="shared" si="6"/>
        <v>1169.28</v>
      </c>
    </row>
    <row r="40" spans="1:38" x14ac:dyDescent="0.3">
      <c r="A40" t="s">
        <v>31</v>
      </c>
      <c r="B40" s="1">
        <v>2022</v>
      </c>
      <c r="C40" t="s">
        <v>35</v>
      </c>
      <c r="D40" t="str">
        <f t="shared" si="0"/>
        <v>2022-May</v>
      </c>
      <c r="E40" s="1">
        <v>5</v>
      </c>
      <c r="F40" s="1">
        <v>155.12</v>
      </c>
      <c r="G40" s="1">
        <v>217.56</v>
      </c>
      <c r="H40" s="1">
        <v>169.98</v>
      </c>
      <c r="I40" s="1">
        <v>165.76</v>
      </c>
      <c r="J40" s="1">
        <v>200.44</v>
      </c>
      <c r="K40" s="1">
        <v>170.04</v>
      </c>
      <c r="L40" s="1">
        <v>180.92</v>
      </c>
      <c r="M40" s="1">
        <v>164.32</v>
      </c>
      <c r="N40" s="1">
        <v>119.86</v>
      </c>
      <c r="O40" s="1">
        <v>187.24</v>
      </c>
      <c r="P40" s="1">
        <v>168.56</v>
      </c>
      <c r="Q40" s="1">
        <v>183.54000000000002</v>
      </c>
      <c r="R40" s="1">
        <v>174.48</v>
      </c>
      <c r="S40" s="1">
        <v>194.56</v>
      </c>
      <c r="T40" s="1">
        <v>177.4</v>
      </c>
      <c r="U40" s="1">
        <v>170.94</v>
      </c>
      <c r="V40" s="1">
        <v>176.42</v>
      </c>
      <c r="W40" s="1">
        <v>167.03333333333333</v>
      </c>
      <c r="X40" s="1">
        <v>176.35999999999999</v>
      </c>
      <c r="Y40" s="1">
        <v>167.06</v>
      </c>
      <c r="Z40" s="1">
        <v>175.61999999999998</v>
      </c>
      <c r="AA40" s="1">
        <v>162.61999999999998</v>
      </c>
      <c r="AB40" s="1">
        <v>166.32</v>
      </c>
      <c r="AC40" s="1">
        <v>170.14000000000001</v>
      </c>
      <c r="AD40" s="1">
        <v>169.24</v>
      </c>
      <c r="AE40" s="1">
        <v>168.32</v>
      </c>
      <c r="AF40" s="1">
        <v>172.71999999999997</v>
      </c>
      <c r="AG40" s="1">
        <f t="shared" si="1"/>
        <v>2257.8199999999997</v>
      </c>
      <c r="AH40" s="1">
        <f t="shared" si="2"/>
        <v>194.56</v>
      </c>
      <c r="AI40" s="1">
        <f t="shared" si="3"/>
        <v>524.76</v>
      </c>
      <c r="AJ40" s="1">
        <f t="shared" si="4"/>
        <v>167.03333333333333</v>
      </c>
      <c r="AK40" s="1">
        <f t="shared" si="5"/>
        <v>176.35999999999999</v>
      </c>
      <c r="AL40" s="1">
        <f t="shared" si="6"/>
        <v>1179.32</v>
      </c>
    </row>
    <row r="41" spans="1:38" x14ac:dyDescent="0.3">
      <c r="A41" t="s">
        <v>28</v>
      </c>
      <c r="B41" s="1">
        <v>2022</v>
      </c>
      <c r="C41" t="s">
        <v>34</v>
      </c>
      <c r="D41" t="str">
        <f t="shared" si="0"/>
        <v>2022-April</v>
      </c>
      <c r="E41" s="1">
        <v>4</v>
      </c>
      <c r="F41" s="1">
        <v>153.94</v>
      </c>
      <c r="G41" s="1">
        <v>214.64</v>
      </c>
      <c r="H41" s="1">
        <v>163.82</v>
      </c>
      <c r="I41" s="1">
        <v>164.38</v>
      </c>
      <c r="J41" s="1">
        <v>198.46</v>
      </c>
      <c r="K41" s="1">
        <v>172.14</v>
      </c>
      <c r="L41" s="1">
        <v>174.82</v>
      </c>
      <c r="M41" s="1">
        <v>164.58</v>
      </c>
      <c r="N41" s="1">
        <v>119.56</v>
      </c>
      <c r="O41" s="1">
        <v>182.04000000000002</v>
      </c>
      <c r="P41" s="1">
        <v>165.56</v>
      </c>
      <c r="Q41" s="1">
        <v>181.68</v>
      </c>
      <c r="R41" s="1">
        <v>172.44</v>
      </c>
      <c r="S41" s="1">
        <v>194.83999999999997</v>
      </c>
      <c r="T41" s="1">
        <v>173.82</v>
      </c>
      <c r="U41" s="1">
        <v>165.83999999999997</v>
      </c>
      <c r="V41" s="1">
        <v>172.6</v>
      </c>
      <c r="W41" s="1">
        <v>167.16666666666666</v>
      </c>
      <c r="X41" s="1">
        <v>172.95999999999998</v>
      </c>
      <c r="Y41" s="1">
        <v>164.3</v>
      </c>
      <c r="Z41" s="1">
        <v>173.56</v>
      </c>
      <c r="AA41" s="1">
        <v>162.92000000000002</v>
      </c>
      <c r="AB41" s="1">
        <v>164.92</v>
      </c>
      <c r="AC41" s="1">
        <v>167.76</v>
      </c>
      <c r="AD41" s="1">
        <v>168.58</v>
      </c>
      <c r="AE41" s="1">
        <v>166.95999999999998</v>
      </c>
      <c r="AF41" s="1">
        <v>170.68</v>
      </c>
      <c r="AG41" s="1">
        <f t="shared" si="1"/>
        <v>2228.06</v>
      </c>
      <c r="AH41" s="1">
        <f t="shared" si="2"/>
        <v>194.83999999999997</v>
      </c>
      <c r="AI41" s="1">
        <f t="shared" si="3"/>
        <v>512.26</v>
      </c>
      <c r="AJ41" s="1">
        <f t="shared" si="4"/>
        <v>167.16666666666666</v>
      </c>
      <c r="AK41" s="1">
        <f t="shared" si="5"/>
        <v>172.95999999999998</v>
      </c>
      <c r="AL41" s="1">
        <f t="shared" si="6"/>
        <v>1169</v>
      </c>
    </row>
    <row r="42" spans="1:38" x14ac:dyDescent="0.3">
      <c r="A42" t="s">
        <v>30</v>
      </c>
      <c r="B42" s="1">
        <v>2022</v>
      </c>
      <c r="C42" t="s">
        <v>34</v>
      </c>
      <c r="D42" t="str">
        <f t="shared" si="0"/>
        <v>2022-April</v>
      </c>
      <c r="E42" s="1">
        <v>4</v>
      </c>
      <c r="F42" s="1">
        <v>154.4</v>
      </c>
      <c r="G42" s="1">
        <v>216.1</v>
      </c>
      <c r="H42" s="1">
        <v>163.4</v>
      </c>
      <c r="I42" s="1">
        <v>164.6</v>
      </c>
      <c r="J42" s="1">
        <v>197.46</v>
      </c>
      <c r="K42" s="1">
        <v>172.4</v>
      </c>
      <c r="L42" s="1">
        <v>179.08</v>
      </c>
      <c r="M42" s="1">
        <v>164.5</v>
      </c>
      <c r="N42" s="1">
        <v>119.86</v>
      </c>
      <c r="O42" s="1">
        <v>182.44</v>
      </c>
      <c r="P42" s="1">
        <v>164.5</v>
      </c>
      <c r="Q42" s="1">
        <v>182.4</v>
      </c>
      <c r="R42" s="1">
        <v>173.38000000000002</v>
      </c>
      <c r="S42" s="1">
        <v>195.1</v>
      </c>
      <c r="T42" s="1">
        <v>173.44</v>
      </c>
      <c r="U42" s="1">
        <v>164.5</v>
      </c>
      <c r="V42" s="1">
        <v>172.10000000000002</v>
      </c>
      <c r="W42" s="1">
        <v>167.25</v>
      </c>
      <c r="X42" s="1">
        <v>173.22</v>
      </c>
      <c r="Y42" s="1">
        <v>163.80000000000001</v>
      </c>
      <c r="Z42" s="1">
        <v>173.12000000000003</v>
      </c>
      <c r="AA42" s="1">
        <v>162.28</v>
      </c>
      <c r="AB42" s="1">
        <v>164.50000000000003</v>
      </c>
      <c r="AC42" s="1">
        <v>167.16</v>
      </c>
      <c r="AD42" s="1">
        <v>168.46</v>
      </c>
      <c r="AE42" s="1">
        <v>166.42</v>
      </c>
      <c r="AF42" s="1">
        <v>170.85999999999999</v>
      </c>
      <c r="AG42" s="1">
        <f t="shared" si="1"/>
        <v>2234.52</v>
      </c>
      <c r="AH42" s="1">
        <f t="shared" si="2"/>
        <v>195.1</v>
      </c>
      <c r="AI42" s="1">
        <f t="shared" si="3"/>
        <v>510.04</v>
      </c>
      <c r="AJ42" s="1">
        <f t="shared" si="4"/>
        <v>167.25</v>
      </c>
      <c r="AK42" s="1">
        <f t="shared" si="5"/>
        <v>173.22</v>
      </c>
      <c r="AL42" s="1">
        <f t="shared" si="6"/>
        <v>1165.74</v>
      </c>
    </row>
    <row r="43" spans="1:38" x14ac:dyDescent="0.3">
      <c r="A43" t="s">
        <v>31</v>
      </c>
      <c r="B43" s="1">
        <v>2022</v>
      </c>
      <c r="C43" t="s">
        <v>34</v>
      </c>
      <c r="D43" t="str">
        <f t="shared" si="0"/>
        <v>2022-April</v>
      </c>
      <c r="E43" s="1">
        <v>4</v>
      </c>
      <c r="F43" s="1">
        <v>154.08000000000001</v>
      </c>
      <c r="G43" s="1">
        <v>216.38</v>
      </c>
      <c r="H43" s="1">
        <v>164.4</v>
      </c>
      <c r="I43" s="1">
        <v>164.84</v>
      </c>
      <c r="J43" s="1">
        <v>201.88</v>
      </c>
      <c r="K43" s="1">
        <v>170.38</v>
      </c>
      <c r="L43" s="1">
        <v>174.4</v>
      </c>
      <c r="M43" s="1">
        <v>164.62</v>
      </c>
      <c r="N43" s="1">
        <v>119.58</v>
      </c>
      <c r="O43" s="1">
        <v>184.61999999999998</v>
      </c>
      <c r="P43" s="1">
        <v>167.84</v>
      </c>
      <c r="Q43" s="1">
        <v>182.12</v>
      </c>
      <c r="R43" s="1">
        <v>172.96</v>
      </c>
      <c r="S43" s="1">
        <v>194.26</v>
      </c>
      <c r="T43" s="1">
        <v>175.9</v>
      </c>
      <c r="U43" s="1">
        <v>169.34</v>
      </c>
      <c r="V43" s="1">
        <v>174.92000000000002</v>
      </c>
      <c r="W43" s="1">
        <v>167.33333333333334</v>
      </c>
      <c r="X43" s="1">
        <v>174.45999999999998</v>
      </c>
      <c r="Y43" s="1">
        <v>165.9</v>
      </c>
      <c r="Z43" s="1">
        <v>174.95999999999998</v>
      </c>
      <c r="AA43" s="1">
        <v>163.52000000000001</v>
      </c>
      <c r="AB43" s="1">
        <v>165.66</v>
      </c>
      <c r="AC43" s="1">
        <v>168.88000000000002</v>
      </c>
      <c r="AD43" s="1">
        <v>168.68</v>
      </c>
      <c r="AE43" s="1">
        <v>168</v>
      </c>
      <c r="AF43" s="1">
        <v>171.74000000000004</v>
      </c>
      <c r="AG43" s="1">
        <f t="shared" si="1"/>
        <v>2238.1</v>
      </c>
      <c r="AH43" s="1">
        <f t="shared" si="2"/>
        <v>194.26</v>
      </c>
      <c r="AI43" s="1">
        <f t="shared" si="3"/>
        <v>520.16000000000008</v>
      </c>
      <c r="AJ43" s="1">
        <f t="shared" si="4"/>
        <v>167.33333333333334</v>
      </c>
      <c r="AK43" s="1">
        <f t="shared" si="5"/>
        <v>174.45999999999998</v>
      </c>
      <c r="AL43" s="1">
        <f t="shared" si="6"/>
        <v>1175.5999999999999</v>
      </c>
    </row>
    <row r="44" spans="1:38" x14ac:dyDescent="0.3">
      <c r="A44" t="s">
        <v>28</v>
      </c>
      <c r="B44" s="1">
        <v>2022</v>
      </c>
      <c r="C44" t="s">
        <v>33</v>
      </c>
      <c r="D44" t="str">
        <f t="shared" si="0"/>
        <v>2022-March</v>
      </c>
      <c r="E44" s="1">
        <v>3</v>
      </c>
      <c r="F44" s="1">
        <v>152.47999999999999</v>
      </c>
      <c r="G44" s="1">
        <v>212</v>
      </c>
      <c r="H44" s="1">
        <v>166.5</v>
      </c>
      <c r="I44" s="1">
        <v>162.96</v>
      </c>
      <c r="J44" s="1">
        <v>194.22</v>
      </c>
      <c r="K44" s="1">
        <v>163.74</v>
      </c>
      <c r="L44" s="1">
        <v>171.08</v>
      </c>
      <c r="M44" s="1">
        <v>164.12</v>
      </c>
      <c r="N44" s="1">
        <v>119.18</v>
      </c>
      <c r="O44" s="1">
        <v>178.33999999999997</v>
      </c>
      <c r="P44" s="1">
        <v>164.7</v>
      </c>
      <c r="Q44" s="1">
        <v>180.08</v>
      </c>
      <c r="R44" s="1">
        <v>169.92000000000002</v>
      </c>
      <c r="S44" s="1">
        <v>194.68</v>
      </c>
      <c r="T44" s="1">
        <v>172.1</v>
      </c>
      <c r="U44" s="1">
        <v>164</v>
      </c>
      <c r="V44" s="1">
        <v>170.9</v>
      </c>
      <c r="W44" s="1">
        <v>165.86666666666667</v>
      </c>
      <c r="X44" s="1">
        <v>168.88</v>
      </c>
      <c r="Y44" s="1">
        <v>163.08000000000001</v>
      </c>
      <c r="Z44" s="1">
        <v>172.64000000000001</v>
      </c>
      <c r="AA44" s="1">
        <v>159.91999999999999</v>
      </c>
      <c r="AB44" s="1">
        <v>164.01999999999998</v>
      </c>
      <c r="AC44" s="1">
        <v>166.83999999999997</v>
      </c>
      <c r="AD44" s="1">
        <v>167.76000000000002</v>
      </c>
      <c r="AE44" s="1">
        <v>165.36</v>
      </c>
      <c r="AF44" s="1">
        <v>168.58</v>
      </c>
      <c r="AG44" s="1">
        <f t="shared" si="1"/>
        <v>2199.3199999999997</v>
      </c>
      <c r="AH44" s="1">
        <f t="shared" si="2"/>
        <v>194.68</v>
      </c>
      <c r="AI44" s="1">
        <f t="shared" si="3"/>
        <v>507</v>
      </c>
      <c r="AJ44" s="1">
        <f t="shared" si="4"/>
        <v>165.86666666666667</v>
      </c>
      <c r="AK44" s="1">
        <f t="shared" si="5"/>
        <v>168.88</v>
      </c>
      <c r="AL44" s="1">
        <f t="shared" si="6"/>
        <v>1159.6199999999999</v>
      </c>
    </row>
    <row r="45" spans="1:38" x14ac:dyDescent="0.3">
      <c r="A45" t="s">
        <v>30</v>
      </c>
      <c r="B45" s="1">
        <v>2022</v>
      </c>
      <c r="C45" t="s">
        <v>33</v>
      </c>
      <c r="D45" t="str">
        <f t="shared" si="0"/>
        <v>2022-March</v>
      </c>
      <c r="E45" s="1">
        <v>3</v>
      </c>
      <c r="F45" s="1">
        <v>153.02000000000001</v>
      </c>
      <c r="G45" s="1">
        <v>212.76</v>
      </c>
      <c r="H45" s="1">
        <v>165.82</v>
      </c>
      <c r="I45" s="1">
        <v>163.34</v>
      </c>
      <c r="J45" s="1">
        <v>193.5</v>
      </c>
      <c r="K45" s="1">
        <v>167.08</v>
      </c>
      <c r="L45" s="1">
        <v>173.16</v>
      </c>
      <c r="M45" s="1">
        <v>164.22</v>
      </c>
      <c r="N45" s="1">
        <v>119.36</v>
      </c>
      <c r="O45" s="1">
        <v>178.85999999999999</v>
      </c>
      <c r="P45" s="1">
        <v>163.69999999999999</v>
      </c>
      <c r="Q45" s="1">
        <v>180.78</v>
      </c>
      <c r="R45" s="1">
        <v>170.76</v>
      </c>
      <c r="S45" s="1">
        <v>195</v>
      </c>
      <c r="T45" s="1">
        <v>171.8</v>
      </c>
      <c r="U45" s="1">
        <v>162.66</v>
      </c>
      <c r="V45" s="1">
        <v>170.44</v>
      </c>
      <c r="W45" s="1">
        <v>166.15</v>
      </c>
      <c r="X45" s="1">
        <v>169.54000000000002</v>
      </c>
      <c r="Y45" s="1">
        <v>162.57999999999998</v>
      </c>
      <c r="Z45" s="1">
        <v>172.24</v>
      </c>
      <c r="AA45" s="1">
        <v>160.04000000000002</v>
      </c>
      <c r="AB45" s="1">
        <v>163.57999999999998</v>
      </c>
      <c r="AC45" s="1">
        <v>166.1</v>
      </c>
      <c r="AD45" s="1">
        <v>168.04000000000002</v>
      </c>
      <c r="AE45" s="1">
        <v>165.06</v>
      </c>
      <c r="AF45" s="1">
        <v>168.86</v>
      </c>
      <c r="AG45" s="1">
        <f t="shared" si="1"/>
        <v>2206.3599999999997</v>
      </c>
      <c r="AH45" s="1">
        <f t="shared" si="2"/>
        <v>195</v>
      </c>
      <c r="AI45" s="1">
        <f t="shared" si="3"/>
        <v>504.90000000000003</v>
      </c>
      <c r="AJ45" s="1">
        <f t="shared" si="4"/>
        <v>166.15</v>
      </c>
      <c r="AK45" s="1">
        <f t="shared" si="5"/>
        <v>169.54000000000002</v>
      </c>
      <c r="AL45" s="1">
        <f t="shared" si="6"/>
        <v>1157.6400000000001</v>
      </c>
    </row>
    <row r="46" spans="1:38" x14ac:dyDescent="0.3">
      <c r="A46" t="s">
        <v>31</v>
      </c>
      <c r="B46" s="1">
        <v>2022</v>
      </c>
      <c r="C46" t="s">
        <v>33</v>
      </c>
      <c r="D46" t="str">
        <f t="shared" si="0"/>
        <v>2022-March</v>
      </c>
      <c r="E46" s="1">
        <v>3</v>
      </c>
      <c r="F46" s="1">
        <v>152.86000000000001</v>
      </c>
      <c r="G46" s="1">
        <v>212.54</v>
      </c>
      <c r="H46" s="1">
        <v>164.56</v>
      </c>
      <c r="I46" s="1">
        <v>163.74</v>
      </c>
      <c r="J46" s="1">
        <v>199.48</v>
      </c>
      <c r="K46" s="1">
        <v>168.76</v>
      </c>
      <c r="L46" s="1">
        <v>167.56</v>
      </c>
      <c r="M46" s="1">
        <v>164.54</v>
      </c>
      <c r="N46" s="1">
        <v>119.08</v>
      </c>
      <c r="O46" s="1">
        <v>181.23999999999998</v>
      </c>
      <c r="P46" s="1">
        <v>166.92000000000002</v>
      </c>
      <c r="Q46" s="1">
        <v>180.56</v>
      </c>
      <c r="R46" s="1">
        <v>170.61999999999998</v>
      </c>
      <c r="S46" s="1">
        <v>194.07999999999998</v>
      </c>
      <c r="T46" s="1">
        <v>174.24</v>
      </c>
      <c r="U46" s="1">
        <v>167.58</v>
      </c>
      <c r="V46" s="1">
        <v>173.26</v>
      </c>
      <c r="W46" s="1">
        <v>166.43333333333334</v>
      </c>
      <c r="X46" s="1">
        <v>171.7</v>
      </c>
      <c r="Y46" s="1">
        <v>164.64</v>
      </c>
      <c r="Z46" s="1">
        <v>174.14000000000001</v>
      </c>
      <c r="AA46" s="1">
        <v>162.62</v>
      </c>
      <c r="AB46" s="1">
        <v>164.94</v>
      </c>
      <c r="AC46" s="1">
        <v>167.92</v>
      </c>
      <c r="AD46" s="1">
        <v>168.38000000000002</v>
      </c>
      <c r="AE46" s="1">
        <v>167.12</v>
      </c>
      <c r="AF46" s="1">
        <v>170.06</v>
      </c>
      <c r="AG46" s="1">
        <f t="shared" si="1"/>
        <v>2212.46</v>
      </c>
      <c r="AH46" s="1">
        <f t="shared" si="2"/>
        <v>194.07999999999998</v>
      </c>
      <c r="AI46" s="1">
        <f t="shared" si="3"/>
        <v>515.08000000000004</v>
      </c>
      <c r="AJ46" s="1">
        <f t="shared" si="4"/>
        <v>166.43333333333334</v>
      </c>
      <c r="AK46" s="1">
        <f t="shared" si="5"/>
        <v>171.7</v>
      </c>
      <c r="AL46" s="1">
        <f t="shared" si="6"/>
        <v>1169.7599999999998</v>
      </c>
    </row>
    <row r="47" spans="1:38" x14ac:dyDescent="0.3">
      <c r="A47" t="s">
        <v>28</v>
      </c>
      <c r="B47" s="1">
        <v>2022</v>
      </c>
      <c r="C47" t="s">
        <v>32</v>
      </c>
      <c r="D47" t="str">
        <f t="shared" si="0"/>
        <v>2022-February</v>
      </c>
      <c r="E47" s="1">
        <v>2</v>
      </c>
      <c r="F47" s="1">
        <v>151.04</v>
      </c>
      <c r="G47" s="1">
        <v>205.54</v>
      </c>
      <c r="H47" s="1">
        <v>172.66</v>
      </c>
      <c r="I47" s="1">
        <v>161.32</v>
      </c>
      <c r="J47" s="1">
        <v>186.42</v>
      </c>
      <c r="K47" s="1">
        <v>155.4</v>
      </c>
      <c r="L47" s="1">
        <v>173.42</v>
      </c>
      <c r="M47" s="1">
        <v>163.68</v>
      </c>
      <c r="N47" s="1">
        <v>119.2</v>
      </c>
      <c r="O47" s="1">
        <v>175.06000000000003</v>
      </c>
      <c r="P47" s="1">
        <v>164.04</v>
      </c>
      <c r="Q47" s="1">
        <v>178.64</v>
      </c>
      <c r="R47" s="1">
        <v>167.68</v>
      </c>
      <c r="S47" s="1">
        <v>194.11999999999998</v>
      </c>
      <c r="T47" s="1">
        <v>170.62</v>
      </c>
      <c r="U47" s="1">
        <v>161.92000000000002</v>
      </c>
      <c r="V47" s="1">
        <v>169.34</v>
      </c>
      <c r="W47" s="1">
        <v>165.43333333333334</v>
      </c>
      <c r="X47" s="1">
        <v>165.9</v>
      </c>
      <c r="Y47" s="1">
        <v>162.00000000000003</v>
      </c>
      <c r="Z47" s="1">
        <v>171.78000000000003</v>
      </c>
      <c r="AA47" s="1">
        <v>157.47999999999996</v>
      </c>
      <c r="AB47" s="1">
        <v>162.9</v>
      </c>
      <c r="AC47" s="1">
        <v>166.2</v>
      </c>
      <c r="AD47" s="1">
        <v>165.45999999999998</v>
      </c>
      <c r="AE47" s="1">
        <v>163.82</v>
      </c>
      <c r="AF47" s="1">
        <v>166.7</v>
      </c>
      <c r="AG47" s="1">
        <f t="shared" si="1"/>
        <v>2174.1</v>
      </c>
      <c r="AH47" s="1">
        <f t="shared" si="2"/>
        <v>194.11999999999998</v>
      </c>
      <c r="AI47" s="1">
        <f t="shared" si="3"/>
        <v>501.88</v>
      </c>
      <c r="AJ47" s="1">
        <f t="shared" si="4"/>
        <v>165.43333333333334</v>
      </c>
      <c r="AK47" s="1">
        <f t="shared" si="5"/>
        <v>165.9</v>
      </c>
      <c r="AL47" s="1">
        <f t="shared" si="6"/>
        <v>1149.6400000000001</v>
      </c>
    </row>
    <row r="48" spans="1:38" x14ac:dyDescent="0.3">
      <c r="A48" t="s">
        <v>30</v>
      </c>
      <c r="B48" s="1">
        <v>2022</v>
      </c>
      <c r="C48" t="s">
        <v>32</v>
      </c>
      <c r="D48" t="str">
        <f t="shared" si="0"/>
        <v>2022-February</v>
      </c>
      <c r="E48" s="1">
        <v>2</v>
      </c>
      <c r="F48" s="1">
        <v>151.54</v>
      </c>
      <c r="G48" s="1">
        <v>208.06</v>
      </c>
      <c r="H48" s="1">
        <v>171.12</v>
      </c>
      <c r="I48" s="1">
        <v>161.62</v>
      </c>
      <c r="J48" s="1">
        <v>186.82</v>
      </c>
      <c r="K48" s="1">
        <v>156.63999999999999</v>
      </c>
      <c r="L48" s="1">
        <v>175.76</v>
      </c>
      <c r="M48" s="1">
        <v>163.68</v>
      </c>
      <c r="N48" s="1">
        <v>119.34</v>
      </c>
      <c r="O48" s="1">
        <v>175.46</v>
      </c>
      <c r="P48" s="1">
        <v>163</v>
      </c>
      <c r="Q48" s="1">
        <v>179.24</v>
      </c>
      <c r="R48" s="1">
        <v>168.57999999999998</v>
      </c>
      <c r="S48" s="1">
        <v>194.56</v>
      </c>
      <c r="T48" s="1">
        <v>170.22</v>
      </c>
      <c r="U48" s="1">
        <v>160.64000000000001</v>
      </c>
      <c r="V48" s="1">
        <v>168.82</v>
      </c>
      <c r="W48" s="1">
        <v>165.4</v>
      </c>
      <c r="X48" s="1">
        <v>165.85999999999999</v>
      </c>
      <c r="Y48" s="1">
        <v>161.42000000000002</v>
      </c>
      <c r="Z48" s="1">
        <v>171.32</v>
      </c>
      <c r="AA48" s="1">
        <v>156.82</v>
      </c>
      <c r="AB48" s="1">
        <v>162.45999999999998</v>
      </c>
      <c r="AC48" s="1">
        <v>165.34</v>
      </c>
      <c r="AD48" s="1">
        <v>166</v>
      </c>
      <c r="AE48" s="1">
        <v>163.28</v>
      </c>
      <c r="AF48" s="1">
        <v>166.9</v>
      </c>
      <c r="AG48" s="1">
        <f t="shared" si="1"/>
        <v>2180.86</v>
      </c>
      <c r="AH48" s="1">
        <f t="shared" si="2"/>
        <v>194.56</v>
      </c>
      <c r="AI48" s="1">
        <f t="shared" si="3"/>
        <v>499.68</v>
      </c>
      <c r="AJ48" s="1">
        <f t="shared" si="4"/>
        <v>165.4</v>
      </c>
      <c r="AK48" s="1">
        <f t="shared" si="5"/>
        <v>165.85999999999999</v>
      </c>
      <c r="AL48" s="1">
        <f t="shared" si="6"/>
        <v>1146.6400000000001</v>
      </c>
    </row>
    <row r="49" spans="1:38" x14ac:dyDescent="0.3">
      <c r="A49" t="s">
        <v>31</v>
      </c>
      <c r="B49" s="1">
        <v>2022</v>
      </c>
      <c r="C49" t="s">
        <v>32</v>
      </c>
      <c r="D49" t="str">
        <f t="shared" si="0"/>
        <v>2022-February</v>
      </c>
      <c r="E49" s="1">
        <v>2</v>
      </c>
      <c r="F49" s="1">
        <v>151.4</v>
      </c>
      <c r="G49" s="1">
        <v>208.96</v>
      </c>
      <c r="H49" s="1">
        <v>168.74</v>
      </c>
      <c r="I49" s="1">
        <v>162.26</v>
      </c>
      <c r="J49" s="1">
        <v>194</v>
      </c>
      <c r="K49" s="1">
        <v>159.30000000000001</v>
      </c>
      <c r="L49" s="1">
        <v>166.88</v>
      </c>
      <c r="M49" s="1">
        <v>164.06</v>
      </c>
      <c r="N49" s="1">
        <v>118.86</v>
      </c>
      <c r="O49" s="1">
        <v>177.6</v>
      </c>
      <c r="P49" s="1">
        <v>166.14</v>
      </c>
      <c r="Q49" s="1">
        <v>179.02</v>
      </c>
      <c r="R49" s="1">
        <v>168.26</v>
      </c>
      <c r="S49" s="1">
        <v>193.82</v>
      </c>
      <c r="T49" s="1">
        <v>172.58</v>
      </c>
      <c r="U49" s="1">
        <v>165.58</v>
      </c>
      <c r="V49" s="1">
        <v>171.56</v>
      </c>
      <c r="W49" s="1">
        <v>165.36666666666667</v>
      </c>
      <c r="X49" s="1">
        <v>167.92</v>
      </c>
      <c r="Y49" s="1">
        <v>163.48000000000002</v>
      </c>
      <c r="Z49" s="1">
        <v>173.28</v>
      </c>
      <c r="AA49" s="1">
        <v>159.44</v>
      </c>
      <c r="AB49" s="1">
        <v>164</v>
      </c>
      <c r="AC49" s="1">
        <v>167.12</v>
      </c>
      <c r="AD49" s="1">
        <v>166.95999999999998</v>
      </c>
      <c r="AE49" s="1">
        <v>165.44</v>
      </c>
      <c r="AF49" s="1">
        <v>167.95999999999998</v>
      </c>
      <c r="AG49" s="1">
        <f t="shared" si="1"/>
        <v>2185.4799999999996</v>
      </c>
      <c r="AH49" s="1">
        <f t="shared" si="2"/>
        <v>193.82</v>
      </c>
      <c r="AI49" s="1">
        <f t="shared" si="3"/>
        <v>509.72</v>
      </c>
      <c r="AJ49" s="1">
        <f t="shared" si="4"/>
        <v>165.36666666666667</v>
      </c>
      <c r="AK49" s="1">
        <f t="shared" si="5"/>
        <v>167.92</v>
      </c>
      <c r="AL49" s="1">
        <f t="shared" si="6"/>
        <v>1159.72</v>
      </c>
    </row>
    <row r="50" spans="1:38" x14ac:dyDescent="0.3">
      <c r="A50" t="s">
        <v>28</v>
      </c>
      <c r="B50" s="1">
        <v>2022</v>
      </c>
      <c r="C50" t="s">
        <v>29</v>
      </c>
      <c r="D50" t="str">
        <f t="shared" si="0"/>
        <v>2022-January</v>
      </c>
      <c r="E50" s="1">
        <v>1</v>
      </c>
      <c r="F50" s="1">
        <v>150.26</v>
      </c>
      <c r="G50" s="1">
        <v>200.2</v>
      </c>
      <c r="H50" s="1">
        <v>177.76</v>
      </c>
      <c r="I50" s="1">
        <v>160.54</v>
      </c>
      <c r="J50" s="1">
        <v>182.48</v>
      </c>
      <c r="K50" s="1">
        <v>153.84</v>
      </c>
      <c r="L50" s="1">
        <v>178.06</v>
      </c>
      <c r="M50" s="1">
        <v>163.76</v>
      </c>
      <c r="N50" s="1">
        <v>119.86</v>
      </c>
      <c r="O50" s="1">
        <v>172.56</v>
      </c>
      <c r="P50" s="1">
        <v>163.58000000000001</v>
      </c>
      <c r="Q50" s="1">
        <v>177.68</v>
      </c>
      <c r="R50" s="1">
        <v>166.97999999999996</v>
      </c>
      <c r="S50" s="1">
        <v>193.45999999999998</v>
      </c>
      <c r="T50" s="1">
        <v>169.51999999999998</v>
      </c>
      <c r="U50" s="1">
        <v>159.97999999999999</v>
      </c>
      <c r="V50" s="1">
        <v>168.09999999999997</v>
      </c>
      <c r="W50" s="1">
        <v>164.83333333333334</v>
      </c>
      <c r="X50" s="1">
        <v>164.4</v>
      </c>
      <c r="Y50" s="1">
        <v>161.18</v>
      </c>
      <c r="Z50" s="1">
        <v>170.94</v>
      </c>
      <c r="AA50" s="1">
        <v>156.86000000000001</v>
      </c>
      <c r="AB50" s="1">
        <v>161.9</v>
      </c>
      <c r="AC50" s="1">
        <v>165.57999999999998</v>
      </c>
      <c r="AD50" s="1">
        <v>163.54000000000002</v>
      </c>
      <c r="AE50" s="1">
        <v>162.92000000000002</v>
      </c>
      <c r="AF50" s="1">
        <v>165.85999999999999</v>
      </c>
      <c r="AG50" s="1">
        <f t="shared" si="1"/>
        <v>2167.5599999999995</v>
      </c>
      <c r="AH50" s="1">
        <f t="shared" si="2"/>
        <v>193.45999999999998</v>
      </c>
      <c r="AI50" s="1">
        <f t="shared" si="3"/>
        <v>497.59999999999997</v>
      </c>
      <c r="AJ50" s="1">
        <f t="shared" si="4"/>
        <v>164.83333333333334</v>
      </c>
      <c r="AK50" s="1">
        <f t="shared" si="5"/>
        <v>164.4</v>
      </c>
      <c r="AL50" s="1">
        <f t="shared" si="6"/>
        <v>1142.92</v>
      </c>
    </row>
    <row r="51" spans="1:38" x14ac:dyDescent="0.3">
      <c r="A51" t="s">
        <v>30</v>
      </c>
      <c r="B51" s="1">
        <v>2022</v>
      </c>
      <c r="C51" t="s">
        <v>29</v>
      </c>
      <c r="D51" t="str">
        <f t="shared" si="0"/>
        <v>2022-January</v>
      </c>
      <c r="E51" s="1">
        <v>1</v>
      </c>
      <c r="F51" s="1">
        <v>150.6</v>
      </c>
      <c r="G51" s="1">
        <v>200.94</v>
      </c>
      <c r="H51" s="1">
        <v>177.32</v>
      </c>
      <c r="I51" s="1">
        <v>160.58000000000001</v>
      </c>
      <c r="J51" s="1">
        <v>180.94</v>
      </c>
      <c r="K51" s="1">
        <v>154.34</v>
      </c>
      <c r="L51" s="1">
        <v>180.16</v>
      </c>
      <c r="M51" s="1">
        <v>163.69999999999999</v>
      </c>
      <c r="N51" s="1">
        <v>119.78</v>
      </c>
      <c r="O51" s="1">
        <v>172.76</v>
      </c>
      <c r="P51" s="1">
        <v>162.56</v>
      </c>
      <c r="Q51" s="1">
        <v>178.12</v>
      </c>
      <c r="R51" s="1">
        <v>167.4</v>
      </c>
      <c r="S51" s="1">
        <v>193.88000000000002</v>
      </c>
      <c r="T51" s="1">
        <v>169.04000000000002</v>
      </c>
      <c r="U51" s="1">
        <v>158.6</v>
      </c>
      <c r="V51" s="1">
        <v>167.48</v>
      </c>
      <c r="W51" s="1">
        <v>165</v>
      </c>
      <c r="X51" s="1">
        <v>164.37999999999997</v>
      </c>
      <c r="Y51" s="1">
        <v>160.56</v>
      </c>
      <c r="Z51" s="1">
        <v>170.44</v>
      </c>
      <c r="AA51" s="1">
        <v>156.07999999999998</v>
      </c>
      <c r="AB51" s="1">
        <v>161.34</v>
      </c>
      <c r="AC51" s="1">
        <v>164.68</v>
      </c>
      <c r="AD51" s="1">
        <v>163.78</v>
      </c>
      <c r="AE51" s="1">
        <v>162.30000000000001</v>
      </c>
      <c r="AF51" s="1">
        <v>165.8</v>
      </c>
      <c r="AG51" s="1">
        <f t="shared" si="1"/>
        <v>2169.1999999999998</v>
      </c>
      <c r="AH51" s="1">
        <f t="shared" si="2"/>
        <v>193.88000000000002</v>
      </c>
      <c r="AI51" s="1">
        <f t="shared" si="3"/>
        <v>495.12</v>
      </c>
      <c r="AJ51" s="1">
        <f t="shared" si="4"/>
        <v>165</v>
      </c>
      <c r="AK51" s="1">
        <f t="shared" si="5"/>
        <v>164.37999999999997</v>
      </c>
      <c r="AL51" s="1">
        <f t="shared" si="6"/>
        <v>1139.1799999999998</v>
      </c>
    </row>
    <row r="52" spans="1:38" x14ac:dyDescent="0.3">
      <c r="A52" t="s">
        <v>31</v>
      </c>
      <c r="B52" s="1">
        <v>2022</v>
      </c>
      <c r="C52" t="s">
        <v>29</v>
      </c>
      <c r="D52" t="str">
        <f t="shared" si="0"/>
        <v>2022-January</v>
      </c>
      <c r="E52" s="1">
        <v>1</v>
      </c>
      <c r="F52" s="1">
        <v>150.19999999999999</v>
      </c>
      <c r="G52" s="1">
        <v>202.12</v>
      </c>
      <c r="H52" s="1">
        <v>174.88</v>
      </c>
      <c r="I52" s="1">
        <v>160.9</v>
      </c>
      <c r="J52" s="1">
        <v>187.36</v>
      </c>
      <c r="K52" s="1">
        <v>154.22</v>
      </c>
      <c r="L52" s="1">
        <v>170.6</v>
      </c>
      <c r="M52" s="1">
        <v>163.78</v>
      </c>
      <c r="N52" s="1">
        <v>119.14</v>
      </c>
      <c r="O52" s="1">
        <v>174.54000000000002</v>
      </c>
      <c r="P52" s="1">
        <v>165.48000000000002</v>
      </c>
      <c r="Q52" s="1">
        <v>177.8</v>
      </c>
      <c r="R52" s="1">
        <v>166.66000000000003</v>
      </c>
      <c r="S52" s="1">
        <v>193.06</v>
      </c>
      <c r="T52" s="1">
        <v>171.18</v>
      </c>
      <c r="U52" s="1">
        <v>163.54000000000002</v>
      </c>
      <c r="V52" s="1">
        <v>170.06</v>
      </c>
      <c r="W52" s="1">
        <v>165.16666666666666</v>
      </c>
      <c r="X52" s="1">
        <v>165.83999999999997</v>
      </c>
      <c r="Y52" s="1">
        <v>162.5</v>
      </c>
      <c r="Z52" s="1">
        <v>172.42000000000002</v>
      </c>
      <c r="AA52" s="1">
        <v>157.94</v>
      </c>
      <c r="AB52" s="1">
        <v>162.97999999999999</v>
      </c>
      <c r="AC52" s="1">
        <v>166.6</v>
      </c>
      <c r="AD52" s="1">
        <v>164.7</v>
      </c>
      <c r="AE52" s="1">
        <v>164.24</v>
      </c>
      <c r="AF52" s="1">
        <v>166.54000000000002</v>
      </c>
      <c r="AG52" s="1">
        <f t="shared" si="1"/>
        <v>2167.6799999999998</v>
      </c>
      <c r="AH52" s="1">
        <f t="shared" si="2"/>
        <v>193.06</v>
      </c>
      <c r="AI52" s="1">
        <f t="shared" si="3"/>
        <v>504.78000000000003</v>
      </c>
      <c r="AJ52" s="1">
        <f t="shared" si="4"/>
        <v>165.16666666666666</v>
      </c>
      <c r="AK52" s="1">
        <f t="shared" si="5"/>
        <v>165.83999999999997</v>
      </c>
      <c r="AL52" s="1">
        <f t="shared" si="6"/>
        <v>1151.3800000000001</v>
      </c>
    </row>
    <row r="53" spans="1:38" x14ac:dyDescent="0.3">
      <c r="A53" t="s">
        <v>28</v>
      </c>
      <c r="B53" s="1">
        <v>2021</v>
      </c>
      <c r="C53" t="s">
        <v>43</v>
      </c>
      <c r="D53" t="str">
        <f t="shared" si="0"/>
        <v>2021-December</v>
      </c>
      <c r="E53" s="1">
        <v>12</v>
      </c>
      <c r="F53" s="1">
        <v>149.63999999999999</v>
      </c>
      <c r="G53" s="1">
        <v>199.4</v>
      </c>
      <c r="H53" s="1">
        <v>178.5</v>
      </c>
      <c r="I53" s="1">
        <v>160.12</v>
      </c>
      <c r="J53" s="1">
        <v>184.1</v>
      </c>
      <c r="K53" s="1">
        <v>154.58000000000001</v>
      </c>
      <c r="L53" s="1">
        <v>188.58</v>
      </c>
      <c r="M53" s="1">
        <v>164.18</v>
      </c>
      <c r="N53" s="1">
        <v>120.82</v>
      </c>
      <c r="O53" s="1">
        <v>170.7</v>
      </c>
      <c r="P53" s="1">
        <v>163.36000000000001</v>
      </c>
      <c r="Q53" s="1">
        <v>176.92</v>
      </c>
      <c r="R53" s="1">
        <v>168.11999999999998</v>
      </c>
      <c r="S53" s="1">
        <v>193.42000000000002</v>
      </c>
      <c r="T53" s="1">
        <v>168.3</v>
      </c>
      <c r="U53" s="1">
        <v>158.1</v>
      </c>
      <c r="V53" s="1">
        <v>166.76</v>
      </c>
      <c r="W53" s="1">
        <v>163.76666666666668</v>
      </c>
      <c r="X53" s="1">
        <v>163.76000000000002</v>
      </c>
      <c r="Y53" s="1">
        <v>160.35999999999999</v>
      </c>
      <c r="Z53" s="1">
        <v>170.10000000000002</v>
      </c>
      <c r="AA53" s="1">
        <v>156.21999999999997</v>
      </c>
      <c r="AB53" s="1">
        <v>161.19999999999999</v>
      </c>
      <c r="AC53" s="1">
        <v>165.11999999999998</v>
      </c>
      <c r="AD53" s="1">
        <v>162.76</v>
      </c>
      <c r="AE53" s="1">
        <v>162.19999999999999</v>
      </c>
      <c r="AF53" s="1">
        <v>165.95999999999998</v>
      </c>
      <c r="AG53" s="1">
        <f t="shared" si="1"/>
        <v>2179.02</v>
      </c>
      <c r="AH53" s="1">
        <f t="shared" si="2"/>
        <v>193.42000000000002</v>
      </c>
      <c r="AI53" s="1">
        <f t="shared" si="3"/>
        <v>493.15999999999997</v>
      </c>
      <c r="AJ53" s="1">
        <f t="shared" si="4"/>
        <v>163.76666666666668</v>
      </c>
      <c r="AK53" s="1">
        <f t="shared" si="5"/>
        <v>163.76000000000002</v>
      </c>
      <c r="AL53" s="1">
        <f t="shared" si="6"/>
        <v>1137.96</v>
      </c>
    </row>
    <row r="54" spans="1:38" x14ac:dyDescent="0.3">
      <c r="A54" t="s">
        <v>30</v>
      </c>
      <c r="B54" s="1">
        <v>2021</v>
      </c>
      <c r="C54" t="s">
        <v>43</v>
      </c>
      <c r="D54" t="str">
        <f t="shared" si="0"/>
        <v>2021-December</v>
      </c>
      <c r="E54" s="1">
        <v>12</v>
      </c>
      <c r="F54" s="1">
        <v>150.06</v>
      </c>
      <c r="G54" s="1">
        <v>199.74</v>
      </c>
      <c r="H54" s="1">
        <v>178.96</v>
      </c>
      <c r="I54" s="1">
        <v>160.26</v>
      </c>
      <c r="J54" s="1">
        <v>181.88</v>
      </c>
      <c r="K54" s="1">
        <v>154.91999999999999</v>
      </c>
      <c r="L54" s="1">
        <v>188.98</v>
      </c>
      <c r="M54" s="1">
        <v>164.06</v>
      </c>
      <c r="N54" s="1">
        <v>120.7</v>
      </c>
      <c r="O54" s="1">
        <v>170.78</v>
      </c>
      <c r="P54" s="1">
        <v>162.28000000000003</v>
      </c>
      <c r="Q54" s="1">
        <v>177.35999999999999</v>
      </c>
      <c r="R54" s="1">
        <v>168.23999999999998</v>
      </c>
      <c r="S54" s="1">
        <v>193.7</v>
      </c>
      <c r="T54" s="1">
        <v>167.92000000000002</v>
      </c>
      <c r="U54" s="1">
        <v>156.78000000000003</v>
      </c>
      <c r="V54" s="1">
        <v>166.21999999999997</v>
      </c>
      <c r="W54" s="1">
        <v>163.95</v>
      </c>
      <c r="X54" s="1">
        <v>163.47999999999996</v>
      </c>
      <c r="Y54" s="1">
        <v>159.80000000000001</v>
      </c>
      <c r="Z54" s="1">
        <v>169.57999999999998</v>
      </c>
      <c r="AA54" s="1">
        <v>155.5</v>
      </c>
      <c r="AB54" s="1">
        <v>160.54000000000002</v>
      </c>
      <c r="AC54" s="1">
        <v>164.11999999999998</v>
      </c>
      <c r="AD54" s="1">
        <v>162.80000000000001</v>
      </c>
      <c r="AE54" s="1">
        <v>161.54000000000002</v>
      </c>
      <c r="AF54" s="1">
        <v>165.7</v>
      </c>
      <c r="AG54" s="1">
        <f t="shared" si="1"/>
        <v>2178.2199999999998</v>
      </c>
      <c r="AH54" s="1">
        <f t="shared" si="2"/>
        <v>193.7</v>
      </c>
      <c r="AI54" s="1">
        <f t="shared" si="3"/>
        <v>490.92</v>
      </c>
      <c r="AJ54" s="1">
        <f t="shared" si="4"/>
        <v>163.95</v>
      </c>
      <c r="AK54" s="1">
        <f t="shared" si="5"/>
        <v>163.47999999999996</v>
      </c>
      <c r="AL54" s="1">
        <f t="shared" si="6"/>
        <v>1133.8800000000001</v>
      </c>
    </row>
    <row r="55" spans="1:38" x14ac:dyDescent="0.3">
      <c r="A55" t="s">
        <v>31</v>
      </c>
      <c r="B55" s="1">
        <v>2021</v>
      </c>
      <c r="C55" t="s">
        <v>43</v>
      </c>
      <c r="D55" t="str">
        <f t="shared" si="0"/>
        <v>2021-December</v>
      </c>
      <c r="E55" s="1">
        <v>12</v>
      </c>
      <c r="F55" s="1">
        <v>149.5</v>
      </c>
      <c r="G55" s="1">
        <v>198.92</v>
      </c>
      <c r="H55" s="1">
        <v>178.06</v>
      </c>
      <c r="I55" s="1">
        <v>160.4</v>
      </c>
      <c r="J55" s="1">
        <v>185.7</v>
      </c>
      <c r="K55" s="1">
        <v>153.54</v>
      </c>
      <c r="L55" s="1">
        <v>176.12</v>
      </c>
      <c r="M55" s="1">
        <v>164</v>
      </c>
      <c r="N55" s="1">
        <v>119.94</v>
      </c>
      <c r="O55" s="1">
        <v>172.22</v>
      </c>
      <c r="P55" s="1">
        <v>165.08</v>
      </c>
      <c r="Q55" s="1">
        <v>176.97999999999996</v>
      </c>
      <c r="R55" s="1">
        <v>166.57999999999998</v>
      </c>
      <c r="S55" s="1">
        <v>192.64000000000001</v>
      </c>
      <c r="T55" s="1">
        <v>170.07999999999998</v>
      </c>
      <c r="U55" s="1">
        <v>161.64000000000001</v>
      </c>
      <c r="V55" s="1">
        <v>168.82</v>
      </c>
      <c r="W55" s="1">
        <v>164.13333333333333</v>
      </c>
      <c r="X55" s="1">
        <v>164.62</v>
      </c>
      <c r="Y55" s="1">
        <v>161.74</v>
      </c>
      <c r="Z55" s="1">
        <v>171.61999999999998</v>
      </c>
      <c r="AA55" s="1">
        <v>157.38000000000002</v>
      </c>
      <c r="AB55" s="1">
        <v>162.11999999999998</v>
      </c>
      <c r="AC55" s="1">
        <v>166.06</v>
      </c>
      <c r="AD55" s="1">
        <v>163.21999999999997</v>
      </c>
      <c r="AE55" s="1">
        <v>163.44</v>
      </c>
      <c r="AF55" s="1">
        <v>166</v>
      </c>
      <c r="AG55" s="1">
        <f t="shared" si="1"/>
        <v>2167.04</v>
      </c>
      <c r="AH55" s="1">
        <f t="shared" si="2"/>
        <v>192.64000000000001</v>
      </c>
      <c r="AI55" s="1">
        <f t="shared" si="3"/>
        <v>500.54</v>
      </c>
      <c r="AJ55" s="1">
        <f t="shared" si="4"/>
        <v>164.13333333333333</v>
      </c>
      <c r="AK55" s="1">
        <f t="shared" si="5"/>
        <v>164.62</v>
      </c>
      <c r="AL55" s="1">
        <f t="shared" si="6"/>
        <v>1145.5800000000002</v>
      </c>
    </row>
    <row r="56" spans="1:38" x14ac:dyDescent="0.3">
      <c r="A56" t="s">
        <v>28</v>
      </c>
      <c r="B56" s="1">
        <v>2021</v>
      </c>
      <c r="C56" t="s">
        <v>42</v>
      </c>
      <c r="D56" t="str">
        <f t="shared" si="0"/>
        <v>2021-November</v>
      </c>
      <c r="E56" s="1">
        <v>11</v>
      </c>
      <c r="F56" s="1">
        <v>149.02000000000001</v>
      </c>
      <c r="G56" s="1">
        <v>201.1</v>
      </c>
      <c r="H56" s="1">
        <v>175.28</v>
      </c>
      <c r="I56" s="1">
        <v>159.56</v>
      </c>
      <c r="J56" s="1">
        <v>186.72</v>
      </c>
      <c r="K56" s="1">
        <v>156.06</v>
      </c>
      <c r="L56" s="1">
        <v>200.8</v>
      </c>
      <c r="M56" s="1">
        <v>164.9</v>
      </c>
      <c r="N56" s="1">
        <v>122.02</v>
      </c>
      <c r="O56" s="1">
        <v>169.5</v>
      </c>
      <c r="P56" s="1">
        <v>163.01999999999998</v>
      </c>
      <c r="Q56" s="1">
        <v>175.98000000000002</v>
      </c>
      <c r="R56" s="1">
        <v>169.74</v>
      </c>
      <c r="S56" s="1">
        <v>193.77999999999997</v>
      </c>
      <c r="T56" s="1">
        <v>167</v>
      </c>
      <c r="U56" s="1">
        <v>156.54000000000002</v>
      </c>
      <c r="V56" s="1">
        <v>165.44</v>
      </c>
      <c r="W56" s="1">
        <v>163.93333333333331</v>
      </c>
      <c r="X56" s="1">
        <v>163.61999999999998</v>
      </c>
      <c r="Y56" s="1">
        <v>159.46</v>
      </c>
      <c r="Z56" s="1">
        <v>169.32</v>
      </c>
      <c r="AA56" s="1">
        <v>155.35999999999999</v>
      </c>
      <c r="AB56" s="1">
        <v>160.47999999999999</v>
      </c>
      <c r="AC56" s="1">
        <v>164.94</v>
      </c>
      <c r="AD56" s="1">
        <v>162.32</v>
      </c>
      <c r="AE56" s="1">
        <v>161.54000000000002</v>
      </c>
      <c r="AF56" s="1">
        <v>166.42</v>
      </c>
      <c r="AG56" s="1">
        <f t="shared" si="1"/>
        <v>2193.6999999999998</v>
      </c>
      <c r="AH56" s="1">
        <f t="shared" si="2"/>
        <v>193.77999999999997</v>
      </c>
      <c r="AI56" s="1">
        <f t="shared" si="3"/>
        <v>488.98</v>
      </c>
      <c r="AJ56" s="1">
        <f t="shared" si="4"/>
        <v>163.93333333333331</v>
      </c>
      <c r="AK56" s="1">
        <f t="shared" si="5"/>
        <v>163.61999999999998</v>
      </c>
      <c r="AL56" s="1">
        <f t="shared" si="6"/>
        <v>1133.4199999999998</v>
      </c>
    </row>
    <row r="57" spans="1:38" x14ac:dyDescent="0.3">
      <c r="A57" t="s">
        <v>30</v>
      </c>
      <c r="B57" s="1">
        <v>2021</v>
      </c>
      <c r="C57" t="s">
        <v>42</v>
      </c>
      <c r="D57" t="str">
        <f t="shared" si="0"/>
        <v>2021-November</v>
      </c>
      <c r="E57" s="1">
        <v>11</v>
      </c>
      <c r="F57" s="1">
        <v>149.38</v>
      </c>
      <c r="G57" s="1">
        <v>200.9</v>
      </c>
      <c r="H57" s="1">
        <v>176.56</v>
      </c>
      <c r="I57" s="1">
        <v>159.72</v>
      </c>
      <c r="J57" s="1">
        <v>184.56</v>
      </c>
      <c r="K57" s="1">
        <v>156.4</v>
      </c>
      <c r="L57" s="1">
        <v>201.68</v>
      </c>
      <c r="M57" s="1">
        <v>164.7</v>
      </c>
      <c r="N57" s="1">
        <v>121.8</v>
      </c>
      <c r="O57" s="1">
        <v>169.44</v>
      </c>
      <c r="P57" s="1">
        <v>162.04000000000002</v>
      </c>
      <c r="Q57" s="1">
        <v>176.42</v>
      </c>
      <c r="R57" s="1">
        <v>169.88000000000002</v>
      </c>
      <c r="S57" s="1">
        <v>193.98</v>
      </c>
      <c r="T57" s="1">
        <v>166.62</v>
      </c>
      <c r="U57" s="1">
        <v>155.08000000000001</v>
      </c>
      <c r="V57" s="1">
        <v>164.88</v>
      </c>
      <c r="W57" s="1">
        <v>163.79999999999998</v>
      </c>
      <c r="X57" s="1">
        <v>163.38</v>
      </c>
      <c r="Y57" s="1">
        <v>158.91999999999999</v>
      </c>
      <c r="Z57" s="1">
        <v>168.76000000000002</v>
      </c>
      <c r="AA57" s="1">
        <v>154.72000000000003</v>
      </c>
      <c r="AB57" s="1">
        <v>159.84</v>
      </c>
      <c r="AC57" s="1">
        <v>163.95999999999998</v>
      </c>
      <c r="AD57" s="1">
        <v>162.36000000000001</v>
      </c>
      <c r="AE57" s="1">
        <v>160.9</v>
      </c>
      <c r="AF57" s="1">
        <v>166.14000000000001</v>
      </c>
      <c r="AG57" s="1">
        <f t="shared" si="1"/>
        <v>2193.48</v>
      </c>
      <c r="AH57" s="1">
        <f t="shared" si="2"/>
        <v>193.98</v>
      </c>
      <c r="AI57" s="1">
        <f t="shared" si="3"/>
        <v>486.58000000000004</v>
      </c>
      <c r="AJ57" s="1">
        <f t="shared" si="4"/>
        <v>163.79999999999998</v>
      </c>
      <c r="AK57" s="1">
        <f t="shared" si="5"/>
        <v>163.38</v>
      </c>
      <c r="AL57" s="1">
        <f t="shared" si="6"/>
        <v>1129.46</v>
      </c>
    </row>
    <row r="58" spans="1:38" x14ac:dyDescent="0.3">
      <c r="A58" t="s">
        <v>31</v>
      </c>
      <c r="B58" s="1">
        <v>2021</v>
      </c>
      <c r="C58" t="s">
        <v>42</v>
      </c>
      <c r="D58" t="str">
        <f t="shared" si="0"/>
        <v>2021-November</v>
      </c>
      <c r="E58" s="1">
        <v>11</v>
      </c>
      <c r="F58" s="1">
        <v>148.84</v>
      </c>
      <c r="G58" s="1">
        <v>199.3</v>
      </c>
      <c r="H58" s="1">
        <v>177.08</v>
      </c>
      <c r="I58" s="1">
        <v>159.9</v>
      </c>
      <c r="J58" s="1">
        <v>187.92</v>
      </c>
      <c r="K58" s="1">
        <v>154.58000000000001</v>
      </c>
      <c r="L58" s="1">
        <v>187.7</v>
      </c>
      <c r="M58" s="1">
        <v>164.48</v>
      </c>
      <c r="N58" s="1">
        <v>121.04</v>
      </c>
      <c r="O58" s="1">
        <v>170.66</v>
      </c>
      <c r="P58" s="1">
        <v>164.77999999999997</v>
      </c>
      <c r="Q58" s="1">
        <v>176.21999999999997</v>
      </c>
      <c r="R58" s="1">
        <v>168</v>
      </c>
      <c r="S58" s="1">
        <v>192.71999999999997</v>
      </c>
      <c r="T58" s="1">
        <v>168.8</v>
      </c>
      <c r="U58" s="1">
        <v>159.88000000000002</v>
      </c>
      <c r="V58" s="1">
        <v>167.48000000000002</v>
      </c>
      <c r="W58" s="1">
        <v>163.66666666666666</v>
      </c>
      <c r="X58" s="1">
        <v>164.21999999999997</v>
      </c>
      <c r="Y58" s="1">
        <v>160.86000000000001</v>
      </c>
      <c r="Z58" s="1">
        <v>170.85999999999999</v>
      </c>
      <c r="AA58" s="1">
        <v>156.64000000000001</v>
      </c>
      <c r="AB58" s="1">
        <v>161.47999999999999</v>
      </c>
      <c r="AC58" s="1">
        <v>165.78</v>
      </c>
      <c r="AD58" s="1">
        <v>162.64000000000001</v>
      </c>
      <c r="AE58" s="1">
        <v>162.76000000000002</v>
      </c>
      <c r="AF58" s="1">
        <v>166.29999999999998</v>
      </c>
      <c r="AG58" s="1">
        <f t="shared" si="1"/>
        <v>2180.5</v>
      </c>
      <c r="AH58" s="1">
        <f t="shared" si="2"/>
        <v>192.71999999999997</v>
      </c>
      <c r="AI58" s="1">
        <f t="shared" si="3"/>
        <v>496.16000000000008</v>
      </c>
      <c r="AJ58" s="1">
        <f t="shared" si="4"/>
        <v>163.66666666666666</v>
      </c>
      <c r="AK58" s="1">
        <f t="shared" si="5"/>
        <v>164.21999999999997</v>
      </c>
      <c r="AL58" s="1">
        <f t="shared" si="6"/>
        <v>1141.02</v>
      </c>
    </row>
    <row r="59" spans="1:38" x14ac:dyDescent="0.3">
      <c r="A59" t="s">
        <v>28</v>
      </c>
      <c r="B59" s="1">
        <v>2021</v>
      </c>
      <c r="C59" t="s">
        <v>40</v>
      </c>
      <c r="D59" t="str">
        <f t="shared" si="0"/>
        <v>2021-October</v>
      </c>
      <c r="E59" s="1">
        <v>10</v>
      </c>
      <c r="F59" s="1">
        <v>148.30000000000001</v>
      </c>
      <c r="G59" s="1">
        <v>204.04</v>
      </c>
      <c r="H59" s="1">
        <v>172.24</v>
      </c>
      <c r="I59" s="1">
        <v>159</v>
      </c>
      <c r="J59" s="1">
        <v>188.04</v>
      </c>
      <c r="K59" s="1">
        <v>156.22</v>
      </c>
      <c r="L59" s="1">
        <v>196.62</v>
      </c>
      <c r="M59" s="1">
        <v>165.24</v>
      </c>
      <c r="N59" s="1">
        <v>122.24</v>
      </c>
      <c r="O59" s="1">
        <v>168.94</v>
      </c>
      <c r="P59" s="1">
        <v>162.52000000000001</v>
      </c>
      <c r="Q59" s="1">
        <v>175.06</v>
      </c>
      <c r="R59" s="1">
        <v>169.14000000000001</v>
      </c>
      <c r="S59" s="1">
        <v>193.85999999999999</v>
      </c>
      <c r="T59" s="1">
        <v>165.62000000000003</v>
      </c>
      <c r="U59" s="1">
        <v>155.35999999999999</v>
      </c>
      <c r="V59" s="1">
        <v>164.08</v>
      </c>
      <c r="W59" s="1">
        <v>163.79999999999998</v>
      </c>
      <c r="X59" s="1">
        <v>163.76000000000002</v>
      </c>
      <c r="Y59" s="1">
        <v>158.56</v>
      </c>
      <c r="Z59" s="1">
        <v>168.54000000000002</v>
      </c>
      <c r="AA59" s="1">
        <v>155.5</v>
      </c>
      <c r="AB59" s="1">
        <v>159.48000000000002</v>
      </c>
      <c r="AC59" s="1">
        <v>164.66</v>
      </c>
      <c r="AD59" s="1">
        <v>161.28000000000003</v>
      </c>
      <c r="AE59" s="1">
        <v>161.04000000000002</v>
      </c>
      <c r="AF59" s="1">
        <v>165.92000000000002</v>
      </c>
      <c r="AG59" s="1">
        <f t="shared" si="1"/>
        <v>2187.6</v>
      </c>
      <c r="AH59" s="1">
        <f t="shared" si="2"/>
        <v>193.85999999999999</v>
      </c>
      <c r="AI59" s="1">
        <f t="shared" si="3"/>
        <v>485.06000000000006</v>
      </c>
      <c r="AJ59" s="1">
        <f t="shared" si="4"/>
        <v>163.79999999999998</v>
      </c>
      <c r="AK59" s="1">
        <f t="shared" si="5"/>
        <v>163.76000000000002</v>
      </c>
      <c r="AL59" s="1">
        <f t="shared" si="6"/>
        <v>1129.06</v>
      </c>
    </row>
    <row r="60" spans="1:38" x14ac:dyDescent="0.3">
      <c r="A60" t="s">
        <v>30</v>
      </c>
      <c r="B60" s="1">
        <v>2021</v>
      </c>
      <c r="C60" t="s">
        <v>40</v>
      </c>
      <c r="D60" t="str">
        <f t="shared" si="0"/>
        <v>2021-October</v>
      </c>
      <c r="E60" s="1">
        <v>10</v>
      </c>
      <c r="F60" s="1">
        <v>148.72</v>
      </c>
      <c r="G60" s="1">
        <v>203.86</v>
      </c>
      <c r="H60" s="1">
        <v>172.82</v>
      </c>
      <c r="I60" s="1">
        <v>159.18</v>
      </c>
      <c r="J60" s="1">
        <v>186.3</v>
      </c>
      <c r="K60" s="1">
        <v>157</v>
      </c>
      <c r="L60" s="1">
        <v>202.38</v>
      </c>
      <c r="M60" s="1">
        <v>165.26</v>
      </c>
      <c r="N60" s="1">
        <v>122.4</v>
      </c>
      <c r="O60" s="1">
        <v>168.74</v>
      </c>
      <c r="P60" s="1">
        <v>161.5</v>
      </c>
      <c r="Q60" s="1">
        <v>175.44</v>
      </c>
      <c r="R60" s="1">
        <v>169.98000000000002</v>
      </c>
      <c r="S60" s="1">
        <v>194.2</v>
      </c>
      <c r="T60" s="1">
        <v>165.28000000000003</v>
      </c>
      <c r="U60" s="1">
        <v>153.88</v>
      </c>
      <c r="V60" s="1">
        <v>163.58000000000001</v>
      </c>
      <c r="W60" s="1">
        <v>163.89999999999998</v>
      </c>
      <c r="X60" s="1">
        <v>163.44</v>
      </c>
      <c r="Y60" s="1">
        <v>158.01999999999998</v>
      </c>
      <c r="Z60" s="1">
        <v>168.02</v>
      </c>
      <c r="AA60" s="1">
        <v>154.56</v>
      </c>
      <c r="AB60" s="1">
        <v>158.80000000000001</v>
      </c>
      <c r="AC60" s="1">
        <v>163.72000000000003</v>
      </c>
      <c r="AD60" s="1">
        <v>161.5</v>
      </c>
      <c r="AE60" s="1">
        <v>160.38</v>
      </c>
      <c r="AF60" s="1">
        <v>166</v>
      </c>
      <c r="AG60" s="1">
        <f t="shared" si="1"/>
        <v>2193.5800000000004</v>
      </c>
      <c r="AH60" s="1">
        <f t="shared" si="2"/>
        <v>194.2</v>
      </c>
      <c r="AI60" s="1">
        <f t="shared" si="3"/>
        <v>482.74</v>
      </c>
      <c r="AJ60" s="1">
        <f t="shared" si="4"/>
        <v>163.89999999999998</v>
      </c>
      <c r="AK60" s="1">
        <f t="shared" si="5"/>
        <v>163.44</v>
      </c>
      <c r="AL60" s="1">
        <f t="shared" si="6"/>
        <v>1125</v>
      </c>
    </row>
    <row r="61" spans="1:38" x14ac:dyDescent="0.3">
      <c r="A61" t="s">
        <v>31</v>
      </c>
      <c r="B61" s="1">
        <v>2021</v>
      </c>
      <c r="C61" t="s">
        <v>40</v>
      </c>
      <c r="D61" t="str">
        <f t="shared" si="0"/>
        <v>2021-October</v>
      </c>
      <c r="E61" s="1">
        <v>10</v>
      </c>
      <c r="F61" s="1">
        <v>148.18</v>
      </c>
      <c r="G61" s="1">
        <v>201.58</v>
      </c>
      <c r="H61" s="1">
        <v>173.52</v>
      </c>
      <c r="I61" s="1">
        <v>159.30000000000001</v>
      </c>
      <c r="J61" s="1">
        <v>190.14</v>
      </c>
      <c r="K61" s="1">
        <v>155.54</v>
      </c>
      <c r="L61" s="1">
        <v>193.96</v>
      </c>
      <c r="M61" s="1">
        <v>165.1</v>
      </c>
      <c r="N61" s="1">
        <v>122.02</v>
      </c>
      <c r="O61" s="1">
        <v>169.71999999999997</v>
      </c>
      <c r="P61" s="1">
        <v>164.35999999999999</v>
      </c>
      <c r="Q61" s="1">
        <v>175.28</v>
      </c>
      <c r="R61" s="1">
        <v>168.84</v>
      </c>
      <c r="S61" s="1">
        <v>192.95999999999998</v>
      </c>
      <c r="T61" s="1">
        <v>167.48000000000002</v>
      </c>
      <c r="U61" s="1">
        <v>158.45999999999998</v>
      </c>
      <c r="V61" s="1">
        <v>166.16</v>
      </c>
      <c r="W61" s="1">
        <v>163.99999999999997</v>
      </c>
      <c r="X61" s="1">
        <v>164.12</v>
      </c>
      <c r="Y61" s="1">
        <v>159.94</v>
      </c>
      <c r="Z61" s="1">
        <v>170.12</v>
      </c>
      <c r="AA61" s="1">
        <v>156.14000000000001</v>
      </c>
      <c r="AB61" s="1">
        <v>160.68</v>
      </c>
      <c r="AC61" s="1">
        <v>165.6</v>
      </c>
      <c r="AD61" s="1">
        <v>162</v>
      </c>
      <c r="AE61" s="1">
        <v>162.18</v>
      </c>
      <c r="AF61" s="1">
        <v>166.48000000000002</v>
      </c>
      <c r="AG61" s="1">
        <f t="shared" si="1"/>
        <v>2187.54</v>
      </c>
      <c r="AH61" s="1">
        <f t="shared" si="2"/>
        <v>192.95999999999998</v>
      </c>
      <c r="AI61" s="1">
        <f t="shared" si="3"/>
        <v>492.1</v>
      </c>
      <c r="AJ61" s="1">
        <f t="shared" si="4"/>
        <v>163.99999999999997</v>
      </c>
      <c r="AK61" s="1">
        <f t="shared" si="5"/>
        <v>164.12</v>
      </c>
      <c r="AL61" s="1">
        <f t="shared" si="6"/>
        <v>1136.6600000000001</v>
      </c>
    </row>
    <row r="62" spans="1:38" x14ac:dyDescent="0.3">
      <c r="A62" t="s">
        <v>28</v>
      </c>
      <c r="B62" s="1">
        <v>2021</v>
      </c>
      <c r="C62" t="s">
        <v>39</v>
      </c>
      <c r="D62" t="str">
        <f t="shared" si="0"/>
        <v>2021-September</v>
      </c>
      <c r="E62" s="1">
        <v>9</v>
      </c>
      <c r="F62" s="1">
        <v>147.5</v>
      </c>
      <c r="G62" s="1">
        <v>204.88</v>
      </c>
      <c r="H62" s="1">
        <v>172.4</v>
      </c>
      <c r="I62" s="1">
        <v>158.62</v>
      </c>
      <c r="J62" s="1">
        <v>186.78</v>
      </c>
      <c r="K62" s="1">
        <v>156.5</v>
      </c>
      <c r="L62" s="1">
        <v>176.4</v>
      </c>
      <c r="M62" s="1">
        <v>164.6</v>
      </c>
      <c r="N62" s="1">
        <v>120.7</v>
      </c>
      <c r="O62" s="1">
        <v>168.5</v>
      </c>
      <c r="P62" s="1">
        <v>162</v>
      </c>
      <c r="Q62" s="1">
        <v>174.26</v>
      </c>
      <c r="R62" s="1">
        <v>166.07999999999998</v>
      </c>
      <c r="S62" s="1">
        <v>193.45999999999998</v>
      </c>
      <c r="T62" s="1">
        <v>164.35999999999999</v>
      </c>
      <c r="U62" s="1">
        <v>154.33999999999997</v>
      </c>
      <c r="V62" s="1">
        <v>162.88000000000002</v>
      </c>
      <c r="W62" s="1">
        <v>162.6</v>
      </c>
      <c r="X62" s="1">
        <v>162.95999999999998</v>
      </c>
      <c r="Y62" s="1">
        <v>157.68</v>
      </c>
      <c r="Z62" s="1">
        <v>167.82</v>
      </c>
      <c r="AA62" s="1">
        <v>154.80000000000001</v>
      </c>
      <c r="AB62" s="1">
        <v>158.52000000000001</v>
      </c>
      <c r="AC62" s="1">
        <v>164.35999999999999</v>
      </c>
      <c r="AD62" s="1">
        <v>160.24</v>
      </c>
      <c r="AE62" s="1">
        <v>160.30000000000001</v>
      </c>
      <c r="AF62" s="1">
        <v>164.07999999999998</v>
      </c>
      <c r="AG62" s="1">
        <f t="shared" si="1"/>
        <v>2159.2199999999998</v>
      </c>
      <c r="AH62" s="1">
        <f t="shared" si="2"/>
        <v>193.45999999999998</v>
      </c>
      <c r="AI62" s="1">
        <f t="shared" si="3"/>
        <v>481.57999999999993</v>
      </c>
      <c r="AJ62" s="1">
        <f t="shared" si="4"/>
        <v>162.6</v>
      </c>
      <c r="AK62" s="1">
        <f t="shared" si="5"/>
        <v>162.95999999999998</v>
      </c>
      <c r="AL62" s="1">
        <f t="shared" si="6"/>
        <v>1123.72</v>
      </c>
    </row>
    <row r="63" spans="1:38" x14ac:dyDescent="0.3">
      <c r="A63" t="s">
        <v>30</v>
      </c>
      <c r="B63" s="1">
        <v>2021</v>
      </c>
      <c r="C63" t="s">
        <v>39</v>
      </c>
      <c r="D63" t="str">
        <f t="shared" si="0"/>
        <v>2021-September</v>
      </c>
      <c r="E63" s="1">
        <v>9</v>
      </c>
      <c r="F63" s="1">
        <v>147.9</v>
      </c>
      <c r="G63" s="1">
        <v>205.38</v>
      </c>
      <c r="H63" s="1">
        <v>172.24</v>
      </c>
      <c r="I63" s="1">
        <v>158.76</v>
      </c>
      <c r="J63" s="1">
        <v>185.8</v>
      </c>
      <c r="K63" s="1">
        <v>157.1</v>
      </c>
      <c r="L63" s="1">
        <v>183.18</v>
      </c>
      <c r="M63" s="1">
        <v>164.86</v>
      </c>
      <c r="N63" s="1">
        <v>121.22</v>
      </c>
      <c r="O63" s="1">
        <v>168.34</v>
      </c>
      <c r="P63" s="1">
        <v>160.98000000000002</v>
      </c>
      <c r="Q63" s="1">
        <v>174.64000000000001</v>
      </c>
      <c r="R63" s="1">
        <v>167.2</v>
      </c>
      <c r="S63" s="1">
        <v>193.9</v>
      </c>
      <c r="T63" s="1">
        <v>163.95999999999998</v>
      </c>
      <c r="U63" s="1">
        <v>152.88000000000002</v>
      </c>
      <c r="V63" s="1">
        <v>162.32000000000002</v>
      </c>
      <c r="W63" s="1">
        <v>162.85</v>
      </c>
      <c r="X63" s="1">
        <v>163.06</v>
      </c>
      <c r="Y63" s="1">
        <v>157.1</v>
      </c>
      <c r="Z63" s="1">
        <v>167.26000000000002</v>
      </c>
      <c r="AA63" s="1">
        <v>154.38000000000002</v>
      </c>
      <c r="AB63" s="1">
        <v>157.69999999999999</v>
      </c>
      <c r="AC63" s="1">
        <v>163.44</v>
      </c>
      <c r="AD63" s="1">
        <v>160.35999999999999</v>
      </c>
      <c r="AE63" s="1">
        <v>159.74</v>
      </c>
      <c r="AF63" s="1">
        <v>164.38</v>
      </c>
      <c r="AG63" s="1">
        <f t="shared" si="1"/>
        <v>2167.6</v>
      </c>
      <c r="AH63" s="1">
        <f t="shared" si="2"/>
        <v>193.9</v>
      </c>
      <c r="AI63" s="1">
        <f t="shared" si="3"/>
        <v>479.16000000000008</v>
      </c>
      <c r="AJ63" s="1">
        <f t="shared" si="4"/>
        <v>162.85</v>
      </c>
      <c r="AK63" s="1">
        <f t="shared" si="5"/>
        <v>163.06</v>
      </c>
      <c r="AL63" s="1">
        <f t="shared" si="6"/>
        <v>1119.98</v>
      </c>
    </row>
    <row r="64" spans="1:38" x14ac:dyDescent="0.3">
      <c r="A64" t="s">
        <v>31</v>
      </c>
      <c r="B64" s="1">
        <v>2021</v>
      </c>
      <c r="C64" t="s">
        <v>39</v>
      </c>
      <c r="D64" t="str">
        <f t="shared" si="0"/>
        <v>2021-September</v>
      </c>
      <c r="E64" s="1">
        <v>9</v>
      </c>
      <c r="F64" s="1">
        <v>147.41999999999999</v>
      </c>
      <c r="G64" s="1">
        <v>203.86</v>
      </c>
      <c r="H64" s="1">
        <v>171.72</v>
      </c>
      <c r="I64" s="1">
        <v>158.76</v>
      </c>
      <c r="J64" s="1">
        <v>190.48</v>
      </c>
      <c r="K64" s="1">
        <v>155.5</v>
      </c>
      <c r="L64" s="1">
        <v>183.26</v>
      </c>
      <c r="M64" s="1">
        <v>165.04</v>
      </c>
      <c r="N64" s="1">
        <v>121.56</v>
      </c>
      <c r="O64" s="1">
        <v>169.26</v>
      </c>
      <c r="P64" s="1">
        <v>163.83999999999997</v>
      </c>
      <c r="Q64" s="1">
        <v>174.47999999999996</v>
      </c>
      <c r="R64" s="1">
        <v>167.24</v>
      </c>
      <c r="S64" s="1">
        <v>192.88</v>
      </c>
      <c r="T64" s="1">
        <v>166.07999999999998</v>
      </c>
      <c r="U64" s="1">
        <v>157.35999999999999</v>
      </c>
      <c r="V64" s="1">
        <v>164.8</v>
      </c>
      <c r="W64" s="1">
        <v>163.1</v>
      </c>
      <c r="X64" s="1">
        <v>163.95999999999998</v>
      </c>
      <c r="Y64" s="1">
        <v>159.02000000000001</v>
      </c>
      <c r="Z64" s="1">
        <v>169.38</v>
      </c>
      <c r="AA64" s="1">
        <v>156.06</v>
      </c>
      <c r="AB64" s="1">
        <v>159.68</v>
      </c>
      <c r="AC64" s="1">
        <v>165.24</v>
      </c>
      <c r="AD64" s="1">
        <v>160.92000000000002</v>
      </c>
      <c r="AE64" s="1">
        <v>161.58000000000001</v>
      </c>
      <c r="AF64" s="1">
        <v>165.44</v>
      </c>
      <c r="AG64" s="1">
        <f t="shared" si="1"/>
        <v>2172.42</v>
      </c>
      <c r="AH64" s="1">
        <f t="shared" si="2"/>
        <v>192.88</v>
      </c>
      <c r="AI64" s="1">
        <f t="shared" si="3"/>
        <v>488.23999999999995</v>
      </c>
      <c r="AJ64" s="1">
        <f t="shared" si="4"/>
        <v>163.1</v>
      </c>
      <c r="AK64" s="1">
        <f t="shared" si="5"/>
        <v>163.95999999999998</v>
      </c>
      <c r="AL64" s="1">
        <f t="shared" si="6"/>
        <v>1131.8799999999999</v>
      </c>
    </row>
    <row r="65" spans="1:38" x14ac:dyDescent="0.3">
      <c r="A65" t="s">
        <v>28</v>
      </c>
      <c r="B65" s="1">
        <v>2021</v>
      </c>
      <c r="C65" t="s">
        <v>38</v>
      </c>
      <c r="D65" t="str">
        <f t="shared" si="0"/>
        <v>2021-August</v>
      </c>
      <c r="E65" s="1">
        <v>8</v>
      </c>
      <c r="F65" s="1">
        <v>147.1</v>
      </c>
      <c r="G65" s="1">
        <v>204.64</v>
      </c>
      <c r="H65" s="1">
        <v>173.9</v>
      </c>
      <c r="I65" s="1">
        <v>158.44</v>
      </c>
      <c r="J65" s="1">
        <v>184.88</v>
      </c>
      <c r="K65" s="1">
        <v>157.54</v>
      </c>
      <c r="L65" s="1">
        <v>166.86</v>
      </c>
      <c r="M65" s="1">
        <v>163.96</v>
      </c>
      <c r="N65" s="1">
        <v>119</v>
      </c>
      <c r="O65" s="1">
        <v>168.21999999999997</v>
      </c>
      <c r="P65" s="1">
        <v>161.64000000000001</v>
      </c>
      <c r="Q65" s="1">
        <v>173.76000000000002</v>
      </c>
      <c r="R65" s="1">
        <v>164.5</v>
      </c>
      <c r="S65" s="1">
        <v>193.16</v>
      </c>
      <c r="T65" s="1">
        <v>163.76</v>
      </c>
      <c r="U65" s="1">
        <v>153.74</v>
      </c>
      <c r="V65" s="1">
        <v>162.26</v>
      </c>
      <c r="W65" s="1">
        <v>162.1</v>
      </c>
      <c r="X65" s="1">
        <v>162.17999999999998</v>
      </c>
      <c r="Y65" s="1">
        <v>157.24</v>
      </c>
      <c r="Z65" s="1">
        <v>167.4</v>
      </c>
      <c r="AA65" s="1">
        <v>154.08000000000001</v>
      </c>
      <c r="AB65" s="1">
        <v>157.79999999999998</v>
      </c>
      <c r="AC65" s="1">
        <v>164.1</v>
      </c>
      <c r="AD65" s="1">
        <v>159.94</v>
      </c>
      <c r="AE65" s="1">
        <v>159.82</v>
      </c>
      <c r="AF65" s="1">
        <v>163.07999999999998</v>
      </c>
      <c r="AG65" s="1">
        <f t="shared" si="1"/>
        <v>2144.4400000000005</v>
      </c>
      <c r="AH65" s="1">
        <f t="shared" si="2"/>
        <v>193.16</v>
      </c>
      <c r="AI65" s="1">
        <f t="shared" si="3"/>
        <v>479.76</v>
      </c>
      <c r="AJ65" s="1">
        <f t="shared" si="4"/>
        <v>162.1</v>
      </c>
      <c r="AK65" s="1">
        <f t="shared" si="5"/>
        <v>162.17999999999998</v>
      </c>
      <c r="AL65" s="1">
        <f t="shared" si="6"/>
        <v>1120.3799999999999</v>
      </c>
    </row>
    <row r="66" spans="1:38" x14ac:dyDescent="0.3">
      <c r="A66" t="s">
        <v>30</v>
      </c>
      <c r="B66" s="1">
        <v>2021</v>
      </c>
      <c r="C66" t="s">
        <v>38</v>
      </c>
      <c r="D66" t="str">
        <f t="shared" si="0"/>
        <v>2021-August</v>
      </c>
      <c r="E66" s="1">
        <v>8</v>
      </c>
      <c r="F66" s="1">
        <v>147.44</v>
      </c>
      <c r="G66" s="1">
        <v>204.98</v>
      </c>
      <c r="H66" s="1">
        <v>173.16</v>
      </c>
      <c r="I66" s="1">
        <v>158.62</v>
      </c>
      <c r="J66" s="1">
        <v>184.3</v>
      </c>
      <c r="K66" s="1">
        <v>157.74</v>
      </c>
      <c r="L66" s="1">
        <v>168.54</v>
      </c>
      <c r="M66" s="1">
        <v>164.22</v>
      </c>
      <c r="N66" s="1">
        <v>119.9</v>
      </c>
      <c r="O66" s="1">
        <v>168.01999999999998</v>
      </c>
      <c r="P66" s="1">
        <v>160.66</v>
      </c>
      <c r="Q66" s="1">
        <v>174.16</v>
      </c>
      <c r="R66" s="1">
        <v>164.94</v>
      </c>
      <c r="S66" s="1">
        <v>193.54000000000002</v>
      </c>
      <c r="T66" s="1">
        <v>163.28</v>
      </c>
      <c r="U66" s="1">
        <v>152.28000000000003</v>
      </c>
      <c r="V66" s="1">
        <v>161.66</v>
      </c>
      <c r="W66" s="1">
        <v>162.1</v>
      </c>
      <c r="X66" s="1">
        <v>162.07999999999998</v>
      </c>
      <c r="Y66" s="1">
        <v>156.56</v>
      </c>
      <c r="Z66" s="1">
        <v>166.86</v>
      </c>
      <c r="AA66" s="1">
        <v>153.34</v>
      </c>
      <c r="AB66" s="1">
        <v>157.11999999999998</v>
      </c>
      <c r="AC66" s="1">
        <v>163.34</v>
      </c>
      <c r="AD66" s="1">
        <v>159.88</v>
      </c>
      <c r="AE66" s="1">
        <v>159.16</v>
      </c>
      <c r="AF66" s="1">
        <v>163</v>
      </c>
      <c r="AG66" s="1">
        <f t="shared" si="1"/>
        <v>2146.6800000000003</v>
      </c>
      <c r="AH66" s="1">
        <f t="shared" si="2"/>
        <v>193.54000000000002</v>
      </c>
      <c r="AI66" s="1">
        <f t="shared" si="3"/>
        <v>477.22</v>
      </c>
      <c r="AJ66" s="1">
        <f t="shared" si="4"/>
        <v>162.1</v>
      </c>
      <c r="AK66" s="1">
        <f t="shared" si="5"/>
        <v>162.07999999999998</v>
      </c>
      <c r="AL66" s="1">
        <f t="shared" si="6"/>
        <v>1116.26</v>
      </c>
    </row>
    <row r="67" spans="1:38" x14ac:dyDescent="0.3">
      <c r="A67" t="s">
        <v>31</v>
      </c>
      <c r="B67" s="1">
        <v>2021</v>
      </c>
      <c r="C67" t="s">
        <v>38</v>
      </c>
      <c r="D67" t="str">
        <f t="shared" ref="D67:D130" si="7">CONCATENATE(B67,"-",C67)</f>
        <v>2021-August</v>
      </c>
      <c r="E67" s="1">
        <v>8</v>
      </c>
      <c r="F67" s="1">
        <v>146.80000000000001</v>
      </c>
      <c r="G67" s="1">
        <v>204</v>
      </c>
      <c r="H67" s="1">
        <v>172.36</v>
      </c>
      <c r="I67" s="1">
        <v>158.46</v>
      </c>
      <c r="J67" s="1">
        <v>189.06</v>
      </c>
      <c r="K67" s="1">
        <v>156</v>
      </c>
      <c r="L67" s="1">
        <v>165.96</v>
      </c>
      <c r="M67" s="1">
        <v>164.36</v>
      </c>
      <c r="N67" s="1">
        <v>120.14</v>
      </c>
      <c r="O67" s="1">
        <v>168.9</v>
      </c>
      <c r="P67" s="1">
        <v>163.45999999999998</v>
      </c>
      <c r="Q67" s="1">
        <v>173.86</v>
      </c>
      <c r="R67" s="1">
        <v>164.58</v>
      </c>
      <c r="S67" s="1">
        <v>192.48000000000002</v>
      </c>
      <c r="T67" s="1">
        <v>165.1</v>
      </c>
      <c r="U67" s="1">
        <v>156.51999999999998</v>
      </c>
      <c r="V67" s="1">
        <v>163.85999999999999</v>
      </c>
      <c r="W67" s="1">
        <v>162.1</v>
      </c>
      <c r="X67" s="1">
        <v>163.04</v>
      </c>
      <c r="Y67" s="1">
        <v>158.32</v>
      </c>
      <c r="Z67" s="1">
        <v>168.8</v>
      </c>
      <c r="AA67" s="1">
        <v>155.16</v>
      </c>
      <c r="AB67" s="1">
        <v>159.01999999999998</v>
      </c>
      <c r="AC67" s="1">
        <v>165.06</v>
      </c>
      <c r="AD67" s="1">
        <v>160.18</v>
      </c>
      <c r="AE67" s="1">
        <v>160.9</v>
      </c>
      <c r="AF67" s="1">
        <v>163.80000000000001</v>
      </c>
      <c r="AG67" s="1">
        <f t="shared" ref="AG67:AG130" si="8">SUM(F67:R67)</f>
        <v>2147.94</v>
      </c>
      <c r="AH67" s="1">
        <f t="shared" ref="AH67:AH130" si="9">SUM(S67)</f>
        <v>192.48000000000002</v>
      </c>
      <c r="AI67" s="1">
        <f t="shared" ref="AI67:AI130" si="10">SUM(T67:V67)</f>
        <v>485.48</v>
      </c>
      <c r="AJ67" s="1">
        <f t="shared" ref="AJ67:AJ130" si="11">SUM(W67)</f>
        <v>162.1</v>
      </c>
      <c r="AK67" s="1">
        <f t="shared" ref="AK67:AK130" si="12">SUM(X67)</f>
        <v>163.04</v>
      </c>
      <c r="AL67" s="1">
        <f t="shared" ref="AL67:AL130" si="13">SUM(Y67:AE67)</f>
        <v>1127.44</v>
      </c>
    </row>
    <row r="68" spans="1:38" x14ac:dyDescent="0.3">
      <c r="A68" t="s">
        <v>28</v>
      </c>
      <c r="B68" s="1">
        <v>2021</v>
      </c>
      <c r="C68" t="s">
        <v>37</v>
      </c>
      <c r="D68" t="str">
        <f t="shared" si="7"/>
        <v>2021-July</v>
      </c>
      <c r="E68" s="1">
        <v>7</v>
      </c>
      <c r="F68" s="1">
        <v>146.96</v>
      </c>
      <c r="G68" s="1">
        <v>206.38</v>
      </c>
      <c r="H68" s="1">
        <v>179.64</v>
      </c>
      <c r="I68" s="1">
        <v>157.9</v>
      </c>
      <c r="J68" s="1">
        <v>181.46</v>
      </c>
      <c r="K68" s="1">
        <v>161.9</v>
      </c>
      <c r="L68" s="1">
        <v>168.12</v>
      </c>
      <c r="M68" s="1">
        <v>163.92</v>
      </c>
      <c r="N68" s="1">
        <v>115.94</v>
      </c>
      <c r="O68" s="1">
        <v>167.9</v>
      </c>
      <c r="P68" s="1">
        <v>160.58000000000001</v>
      </c>
      <c r="Q68" s="1">
        <v>172.74</v>
      </c>
      <c r="R68" s="1">
        <v>164.54000000000002</v>
      </c>
      <c r="S68" s="1">
        <v>192.61999999999998</v>
      </c>
      <c r="T68" s="1">
        <v>162.69999999999999</v>
      </c>
      <c r="U68" s="1">
        <v>152.46</v>
      </c>
      <c r="V68" s="1">
        <v>161.16</v>
      </c>
      <c r="W68" s="1">
        <v>161.70000000000002</v>
      </c>
      <c r="X68" s="1">
        <v>160.94</v>
      </c>
      <c r="Y68" s="1">
        <v>156.18</v>
      </c>
      <c r="Z68" s="1">
        <v>166.56</v>
      </c>
      <c r="AA68" s="1">
        <v>153.56</v>
      </c>
      <c r="AB68" s="1">
        <v>156.4</v>
      </c>
      <c r="AC68" s="1">
        <v>163.72</v>
      </c>
      <c r="AD68" s="1">
        <v>160.00000000000003</v>
      </c>
      <c r="AE68" s="1">
        <v>159.22</v>
      </c>
      <c r="AF68" s="1">
        <v>162.68</v>
      </c>
      <c r="AG68" s="1">
        <f t="shared" si="8"/>
        <v>2147.9800000000005</v>
      </c>
      <c r="AH68" s="1">
        <f t="shared" si="9"/>
        <v>192.61999999999998</v>
      </c>
      <c r="AI68" s="1">
        <f t="shared" si="10"/>
        <v>476.31999999999994</v>
      </c>
      <c r="AJ68" s="1">
        <f t="shared" si="11"/>
        <v>161.70000000000002</v>
      </c>
      <c r="AK68" s="1">
        <f t="shared" si="12"/>
        <v>160.94</v>
      </c>
      <c r="AL68" s="1">
        <f t="shared" si="13"/>
        <v>1115.6400000000001</v>
      </c>
    </row>
    <row r="69" spans="1:38" x14ac:dyDescent="0.3">
      <c r="A69" t="s">
        <v>30</v>
      </c>
      <c r="B69" s="1">
        <v>2021</v>
      </c>
      <c r="C69" t="s">
        <v>37</v>
      </c>
      <c r="D69" t="str">
        <f t="shared" si="7"/>
        <v>2021-July</v>
      </c>
      <c r="E69" s="1">
        <v>7</v>
      </c>
      <c r="F69" s="1">
        <v>147.26</v>
      </c>
      <c r="G69" s="1">
        <v>206.28</v>
      </c>
      <c r="H69" s="1">
        <v>178.12</v>
      </c>
      <c r="I69" s="1">
        <v>158.16</v>
      </c>
      <c r="J69" s="1">
        <v>181.32</v>
      </c>
      <c r="K69" s="1">
        <v>161.72</v>
      </c>
      <c r="L69" s="1">
        <v>170</v>
      </c>
      <c r="M69" s="1">
        <v>164.02</v>
      </c>
      <c r="N69" s="1">
        <v>117.1</v>
      </c>
      <c r="O69" s="1">
        <v>167.71999999999997</v>
      </c>
      <c r="P69" s="1">
        <v>159.88000000000002</v>
      </c>
      <c r="Q69" s="1">
        <v>173.32</v>
      </c>
      <c r="R69" s="1">
        <v>165</v>
      </c>
      <c r="S69" s="1">
        <v>193.1</v>
      </c>
      <c r="T69" s="1">
        <v>162.4</v>
      </c>
      <c r="U69" s="1">
        <v>151.30000000000001</v>
      </c>
      <c r="V69" s="1">
        <v>160.74</v>
      </c>
      <c r="W69" s="1">
        <v>161.80000000000001</v>
      </c>
      <c r="X69" s="1">
        <v>160.96</v>
      </c>
      <c r="Y69" s="1">
        <v>155.61999999999998</v>
      </c>
      <c r="Z69" s="1">
        <v>166.16000000000003</v>
      </c>
      <c r="AA69" s="1">
        <v>152.94</v>
      </c>
      <c r="AB69" s="1">
        <v>155.78</v>
      </c>
      <c r="AC69" s="1">
        <v>163.04000000000002</v>
      </c>
      <c r="AD69" s="1">
        <v>159.92000000000002</v>
      </c>
      <c r="AE69" s="1">
        <v>158.66</v>
      </c>
      <c r="AF69" s="1">
        <v>162.68</v>
      </c>
      <c r="AG69" s="1">
        <f t="shared" si="8"/>
        <v>2149.8999999999996</v>
      </c>
      <c r="AH69" s="1">
        <f t="shared" si="9"/>
        <v>193.1</v>
      </c>
      <c r="AI69" s="1">
        <f t="shared" si="10"/>
        <v>474.44000000000005</v>
      </c>
      <c r="AJ69" s="1">
        <f t="shared" si="11"/>
        <v>161.80000000000001</v>
      </c>
      <c r="AK69" s="1">
        <f t="shared" si="12"/>
        <v>160.96</v>
      </c>
      <c r="AL69" s="1">
        <f t="shared" si="13"/>
        <v>1112.1200000000001</v>
      </c>
    </row>
    <row r="70" spans="1:38" x14ac:dyDescent="0.3">
      <c r="A70" t="s">
        <v>31</v>
      </c>
      <c r="B70" s="1">
        <v>2021</v>
      </c>
      <c r="C70" t="s">
        <v>37</v>
      </c>
      <c r="D70" t="str">
        <f t="shared" si="7"/>
        <v>2021-July</v>
      </c>
      <c r="E70" s="1">
        <v>7</v>
      </c>
      <c r="F70" s="1">
        <v>146.52000000000001</v>
      </c>
      <c r="G70" s="1">
        <v>204.52</v>
      </c>
      <c r="H70" s="1">
        <v>175.52</v>
      </c>
      <c r="I70" s="1">
        <v>158.12</v>
      </c>
      <c r="J70" s="1">
        <v>186.3</v>
      </c>
      <c r="K70" s="1">
        <v>158.08000000000001</v>
      </c>
      <c r="L70" s="1">
        <v>163</v>
      </c>
      <c r="M70" s="1">
        <v>163.86</v>
      </c>
      <c r="N70" s="1">
        <v>117.82</v>
      </c>
      <c r="O70" s="1">
        <v>168.64000000000001</v>
      </c>
      <c r="P70" s="1">
        <v>162.85999999999999</v>
      </c>
      <c r="Q70" s="1">
        <v>173.18</v>
      </c>
      <c r="R70" s="1">
        <v>163.84</v>
      </c>
      <c r="S70" s="1">
        <v>192.1</v>
      </c>
      <c r="T70" s="1">
        <v>164.35999999999999</v>
      </c>
      <c r="U70" s="1">
        <v>155.63999999999999</v>
      </c>
      <c r="V70" s="1">
        <v>163.06</v>
      </c>
      <c r="W70" s="1">
        <v>161.9</v>
      </c>
      <c r="X70" s="1">
        <v>162.16</v>
      </c>
      <c r="Y70" s="1">
        <v>157.74</v>
      </c>
      <c r="Z70" s="1">
        <v>168.24</v>
      </c>
      <c r="AA70" s="1">
        <v>154.6</v>
      </c>
      <c r="AB70" s="1">
        <v>158.07999999999998</v>
      </c>
      <c r="AC70" s="1">
        <v>164.68</v>
      </c>
      <c r="AD70" s="1">
        <v>160.04000000000002</v>
      </c>
      <c r="AE70" s="1">
        <v>160.41999999999999</v>
      </c>
      <c r="AF70" s="1">
        <v>163.12</v>
      </c>
      <c r="AG70" s="1">
        <f t="shared" si="8"/>
        <v>2142.2600000000002</v>
      </c>
      <c r="AH70" s="1">
        <f t="shared" si="9"/>
        <v>192.1</v>
      </c>
      <c r="AI70" s="1">
        <f t="shared" si="10"/>
        <v>483.06</v>
      </c>
      <c r="AJ70" s="1">
        <f t="shared" si="11"/>
        <v>161.9</v>
      </c>
      <c r="AK70" s="1">
        <f t="shared" si="12"/>
        <v>162.16</v>
      </c>
      <c r="AL70" s="1">
        <f t="shared" si="13"/>
        <v>1123.8000000000002</v>
      </c>
    </row>
    <row r="71" spans="1:38" x14ac:dyDescent="0.3">
      <c r="A71" t="s">
        <v>28</v>
      </c>
      <c r="B71" s="1">
        <v>2021</v>
      </c>
      <c r="C71" t="s">
        <v>36</v>
      </c>
      <c r="D71" t="str">
        <f t="shared" si="7"/>
        <v>2021-June</v>
      </c>
      <c r="E71" s="1">
        <v>6</v>
      </c>
      <c r="F71" s="1">
        <v>147.13999999999999</v>
      </c>
      <c r="G71" s="1">
        <v>204.6</v>
      </c>
      <c r="H71" s="1">
        <v>181.64</v>
      </c>
      <c r="I71" s="1">
        <v>156.82</v>
      </c>
      <c r="J71" s="1">
        <v>181.12</v>
      </c>
      <c r="K71" s="1">
        <v>164.66</v>
      </c>
      <c r="L71" s="1">
        <v>163.1</v>
      </c>
      <c r="M71" s="1">
        <v>165.34</v>
      </c>
      <c r="N71" s="1">
        <v>115.08</v>
      </c>
      <c r="O71" s="1">
        <v>167.84</v>
      </c>
      <c r="P71" s="1">
        <v>159.47999999999999</v>
      </c>
      <c r="Q71" s="1">
        <v>172.38</v>
      </c>
      <c r="R71" s="1">
        <v>163.78</v>
      </c>
      <c r="S71" s="1">
        <v>192.14000000000001</v>
      </c>
      <c r="T71" s="1">
        <v>161.73999999999998</v>
      </c>
      <c r="U71" s="1">
        <v>151.04</v>
      </c>
      <c r="V71" s="1">
        <v>160.18</v>
      </c>
      <c r="W71" s="1">
        <v>160.83333333333334</v>
      </c>
      <c r="X71" s="1">
        <v>159.64000000000001</v>
      </c>
      <c r="Y71" s="1">
        <v>154.95999999999998</v>
      </c>
      <c r="Z71" s="1">
        <v>165.74</v>
      </c>
      <c r="AA71" s="1">
        <v>151.80000000000001</v>
      </c>
      <c r="AB71" s="1">
        <v>155.58000000000001</v>
      </c>
      <c r="AC71" s="1">
        <v>162.82</v>
      </c>
      <c r="AD71" s="1">
        <v>159.24</v>
      </c>
      <c r="AE71" s="1">
        <v>158.06</v>
      </c>
      <c r="AF71" s="1">
        <v>161.76</v>
      </c>
      <c r="AG71" s="1">
        <f t="shared" si="8"/>
        <v>2142.98</v>
      </c>
      <c r="AH71" s="1">
        <f t="shared" si="9"/>
        <v>192.14000000000001</v>
      </c>
      <c r="AI71" s="1">
        <f t="shared" si="10"/>
        <v>472.96</v>
      </c>
      <c r="AJ71" s="1">
        <f t="shared" si="11"/>
        <v>160.83333333333334</v>
      </c>
      <c r="AK71" s="1">
        <f t="shared" si="12"/>
        <v>159.64000000000001</v>
      </c>
      <c r="AL71" s="1">
        <f t="shared" si="13"/>
        <v>1108.2</v>
      </c>
    </row>
    <row r="72" spans="1:38" x14ac:dyDescent="0.3">
      <c r="A72" t="s">
        <v>30</v>
      </c>
      <c r="B72" s="1">
        <v>2021</v>
      </c>
      <c r="C72" t="s">
        <v>36</v>
      </c>
      <c r="D72" t="str">
        <f t="shared" si="7"/>
        <v>2021-June</v>
      </c>
      <c r="E72" s="1">
        <v>6</v>
      </c>
      <c r="F72" s="1">
        <v>147.30000000000001</v>
      </c>
      <c r="G72" s="1">
        <v>205.94</v>
      </c>
      <c r="H72" s="1">
        <v>182.22</v>
      </c>
      <c r="I72" s="1">
        <v>157.1</v>
      </c>
      <c r="J72" s="1">
        <v>179.46</v>
      </c>
      <c r="K72" s="1">
        <v>165.72</v>
      </c>
      <c r="L72" s="1">
        <v>167</v>
      </c>
      <c r="M72" s="1">
        <v>165.04</v>
      </c>
      <c r="N72" s="1">
        <v>115.06</v>
      </c>
      <c r="O72" s="1">
        <v>167.5</v>
      </c>
      <c r="P72" s="1">
        <v>158.56</v>
      </c>
      <c r="Q72" s="1">
        <v>172.48000000000002</v>
      </c>
      <c r="R72" s="1">
        <v>164.48</v>
      </c>
      <c r="S72" s="1">
        <v>192.56</v>
      </c>
      <c r="T72" s="1">
        <v>161.24</v>
      </c>
      <c r="U72" s="1">
        <v>149.68</v>
      </c>
      <c r="V72" s="1">
        <v>159.54</v>
      </c>
      <c r="W72" s="1">
        <v>161</v>
      </c>
      <c r="X72" s="1">
        <v>159.35999999999999</v>
      </c>
      <c r="Y72" s="1">
        <v>154.28000000000003</v>
      </c>
      <c r="Z72" s="1">
        <v>165.2</v>
      </c>
      <c r="AA72" s="1">
        <v>151.57999999999998</v>
      </c>
      <c r="AB72" s="1">
        <v>154.56</v>
      </c>
      <c r="AC72" s="1">
        <v>162.1</v>
      </c>
      <c r="AD72" s="1">
        <v>159.38000000000002</v>
      </c>
      <c r="AE72" s="1">
        <v>157.56</v>
      </c>
      <c r="AF72" s="1">
        <v>161.84</v>
      </c>
      <c r="AG72" s="1">
        <f t="shared" si="8"/>
        <v>2147.8599999999997</v>
      </c>
      <c r="AH72" s="1">
        <f t="shared" si="9"/>
        <v>192.56</v>
      </c>
      <c r="AI72" s="1">
        <f t="shared" si="10"/>
        <v>470.46000000000004</v>
      </c>
      <c r="AJ72" s="1">
        <f t="shared" si="11"/>
        <v>161</v>
      </c>
      <c r="AK72" s="1">
        <f t="shared" si="12"/>
        <v>159.35999999999999</v>
      </c>
      <c r="AL72" s="1">
        <f t="shared" si="13"/>
        <v>1104.6600000000001</v>
      </c>
    </row>
    <row r="73" spans="1:38" x14ac:dyDescent="0.3">
      <c r="A73" t="s">
        <v>31</v>
      </c>
      <c r="B73" s="1">
        <v>2021</v>
      </c>
      <c r="C73" t="s">
        <v>36</v>
      </c>
      <c r="D73" t="str">
        <f t="shared" si="7"/>
        <v>2021-June</v>
      </c>
      <c r="E73" s="1">
        <v>6</v>
      </c>
      <c r="F73" s="1">
        <v>146.44</v>
      </c>
      <c r="G73" s="1">
        <v>205.3</v>
      </c>
      <c r="H73" s="1">
        <v>180.96</v>
      </c>
      <c r="I73" s="1">
        <v>157.30000000000001</v>
      </c>
      <c r="J73" s="1">
        <v>183.2</v>
      </c>
      <c r="K73" s="1">
        <v>162.56</v>
      </c>
      <c r="L73" s="1">
        <v>162.54</v>
      </c>
      <c r="M73" s="1">
        <v>164.22</v>
      </c>
      <c r="N73" s="1">
        <v>114.88</v>
      </c>
      <c r="O73" s="1">
        <v>168.35999999999999</v>
      </c>
      <c r="P73" s="1">
        <v>161.62</v>
      </c>
      <c r="Q73" s="1">
        <v>172.2</v>
      </c>
      <c r="R73" s="1">
        <v>163.6</v>
      </c>
      <c r="S73" s="1">
        <v>191.48000000000002</v>
      </c>
      <c r="T73" s="1">
        <v>163.18</v>
      </c>
      <c r="U73" s="1">
        <v>154.1</v>
      </c>
      <c r="V73" s="1">
        <v>161.84</v>
      </c>
      <c r="W73" s="1">
        <v>161.16666666666666</v>
      </c>
      <c r="X73" s="1">
        <v>160.76000000000002</v>
      </c>
      <c r="Y73" s="1">
        <v>156.5</v>
      </c>
      <c r="Z73" s="1">
        <v>167.26000000000002</v>
      </c>
      <c r="AA73" s="1">
        <v>153.61999999999998</v>
      </c>
      <c r="AB73" s="1">
        <v>156.64000000000001</v>
      </c>
      <c r="AC73" s="1">
        <v>163.98</v>
      </c>
      <c r="AD73" s="1">
        <v>159.84</v>
      </c>
      <c r="AE73" s="1">
        <v>159.54000000000002</v>
      </c>
      <c r="AF73" s="1">
        <v>162.47999999999999</v>
      </c>
      <c r="AG73" s="1">
        <f t="shared" si="8"/>
        <v>2143.1800000000003</v>
      </c>
      <c r="AH73" s="1">
        <f t="shared" si="9"/>
        <v>191.48000000000002</v>
      </c>
      <c r="AI73" s="1">
        <f t="shared" si="10"/>
        <v>479.12</v>
      </c>
      <c r="AJ73" s="1">
        <f t="shared" si="11"/>
        <v>161.16666666666666</v>
      </c>
      <c r="AK73" s="1">
        <f t="shared" si="12"/>
        <v>160.76000000000002</v>
      </c>
      <c r="AL73" s="1">
        <f t="shared" si="13"/>
        <v>1117.3800000000001</v>
      </c>
    </row>
    <row r="74" spans="1:38" x14ac:dyDescent="0.3">
      <c r="A74" t="s">
        <v>28</v>
      </c>
      <c r="B74" s="1">
        <v>2021</v>
      </c>
      <c r="C74" t="s">
        <v>35</v>
      </c>
      <c r="D74" t="str">
        <f t="shared" si="7"/>
        <v>2021-May</v>
      </c>
      <c r="E74" s="1">
        <v>5</v>
      </c>
      <c r="F74" s="1">
        <v>147</v>
      </c>
      <c r="G74" s="1">
        <v>201.78</v>
      </c>
      <c r="H74" s="1">
        <v>174.8</v>
      </c>
      <c r="I74" s="1">
        <v>156.19999999999999</v>
      </c>
      <c r="J74" s="1">
        <v>178.9</v>
      </c>
      <c r="K74" s="1">
        <v>166.4</v>
      </c>
      <c r="L74" s="1">
        <v>154.74</v>
      </c>
      <c r="M74" s="1">
        <v>165.76</v>
      </c>
      <c r="N74" s="1">
        <v>115.14</v>
      </c>
      <c r="O74" s="1">
        <v>167.71999999999997</v>
      </c>
      <c r="P74" s="1">
        <v>158.74</v>
      </c>
      <c r="Q74" s="1">
        <v>171.26</v>
      </c>
      <c r="R74" s="1">
        <v>162.06</v>
      </c>
      <c r="S74" s="1">
        <v>192.88</v>
      </c>
      <c r="T74" s="1">
        <v>161.24</v>
      </c>
      <c r="U74" s="1">
        <v>150.66</v>
      </c>
      <c r="V74" s="1">
        <v>159.68</v>
      </c>
      <c r="W74" s="1">
        <v>161.23333333333332</v>
      </c>
      <c r="X74" s="1">
        <v>158.96</v>
      </c>
      <c r="Y74" s="1">
        <v>154.51999999999998</v>
      </c>
      <c r="Z74" s="1">
        <v>165.16</v>
      </c>
      <c r="AA74" s="1">
        <v>149.76</v>
      </c>
      <c r="AB74" s="1">
        <v>155.9</v>
      </c>
      <c r="AC74" s="1">
        <v>162.06</v>
      </c>
      <c r="AD74" s="1">
        <v>158.56</v>
      </c>
      <c r="AE74" s="1">
        <v>157.02000000000001</v>
      </c>
      <c r="AF74" s="1">
        <v>160.69999999999999</v>
      </c>
      <c r="AG74" s="1">
        <f t="shared" si="8"/>
        <v>2120.5</v>
      </c>
      <c r="AH74" s="1">
        <f t="shared" si="9"/>
        <v>192.88</v>
      </c>
      <c r="AI74" s="1">
        <f t="shared" si="10"/>
        <v>471.58</v>
      </c>
      <c r="AJ74" s="1">
        <f t="shared" si="11"/>
        <v>161.23333333333332</v>
      </c>
      <c r="AK74" s="1">
        <f t="shared" si="12"/>
        <v>158.96</v>
      </c>
      <c r="AL74" s="1">
        <f t="shared" si="13"/>
        <v>1102.9799999999998</v>
      </c>
    </row>
    <row r="75" spans="1:38" x14ac:dyDescent="0.3">
      <c r="A75" t="s">
        <v>30</v>
      </c>
      <c r="B75" s="1">
        <v>2021</v>
      </c>
      <c r="C75" t="s">
        <v>35</v>
      </c>
      <c r="D75" t="str">
        <f t="shared" si="7"/>
        <v>2021-May</v>
      </c>
      <c r="E75" s="1">
        <v>5</v>
      </c>
      <c r="F75" s="1">
        <v>147.32</v>
      </c>
      <c r="G75" s="1">
        <v>202.48</v>
      </c>
      <c r="H75" s="1">
        <v>177.22</v>
      </c>
      <c r="I75" s="1">
        <v>156.28</v>
      </c>
      <c r="J75" s="1">
        <v>178.76</v>
      </c>
      <c r="K75" s="1">
        <v>166.86</v>
      </c>
      <c r="L75" s="1">
        <v>158.13999999999999</v>
      </c>
      <c r="M75" s="1">
        <v>165.94</v>
      </c>
      <c r="N75" s="1">
        <v>115.3</v>
      </c>
      <c r="O75" s="1">
        <v>167.48</v>
      </c>
      <c r="P75" s="1">
        <v>157.82</v>
      </c>
      <c r="Q75" s="1">
        <v>171.78</v>
      </c>
      <c r="R75" s="1">
        <v>162.83999999999997</v>
      </c>
      <c r="S75" s="1">
        <v>193.12000000000003</v>
      </c>
      <c r="T75" s="1">
        <v>160.62000000000003</v>
      </c>
      <c r="U75" s="1">
        <v>148.9</v>
      </c>
      <c r="V75" s="1">
        <v>158.92000000000002</v>
      </c>
      <c r="W75" s="1">
        <v>161.05000000000001</v>
      </c>
      <c r="X75" s="1">
        <v>158.58000000000001</v>
      </c>
      <c r="Y75" s="1">
        <v>153.71999999999997</v>
      </c>
      <c r="Z75" s="1">
        <v>164.6</v>
      </c>
      <c r="AA75" s="1">
        <v>149.26</v>
      </c>
      <c r="AB75" s="1">
        <v>154.88</v>
      </c>
      <c r="AC75" s="1">
        <v>160.87999999999997</v>
      </c>
      <c r="AD75" s="1">
        <v>158.45999999999998</v>
      </c>
      <c r="AE75" s="1">
        <v>156.32</v>
      </c>
      <c r="AF75" s="1">
        <v>160.74</v>
      </c>
      <c r="AG75" s="1">
        <f t="shared" si="8"/>
        <v>2128.2199999999998</v>
      </c>
      <c r="AH75" s="1">
        <f t="shared" si="9"/>
        <v>193.12000000000003</v>
      </c>
      <c r="AI75" s="1">
        <f t="shared" si="10"/>
        <v>468.44000000000005</v>
      </c>
      <c r="AJ75" s="1">
        <f t="shared" si="11"/>
        <v>161.05000000000001</v>
      </c>
      <c r="AK75" s="1">
        <f t="shared" si="12"/>
        <v>158.58000000000001</v>
      </c>
      <c r="AL75" s="1">
        <f t="shared" si="13"/>
        <v>1098.1199999999999</v>
      </c>
    </row>
    <row r="76" spans="1:38" x14ac:dyDescent="0.3">
      <c r="A76" t="s">
        <v>31</v>
      </c>
      <c r="B76" s="1">
        <v>2021</v>
      </c>
      <c r="C76" t="s">
        <v>35</v>
      </c>
      <c r="D76" t="str">
        <f t="shared" si="7"/>
        <v>2021-May</v>
      </c>
      <c r="E76" s="1">
        <v>5</v>
      </c>
      <c r="F76" s="1">
        <v>146.58000000000001</v>
      </c>
      <c r="G76" s="1">
        <v>202.52</v>
      </c>
      <c r="H76" s="1">
        <v>178.7</v>
      </c>
      <c r="I76" s="1">
        <v>156.4</v>
      </c>
      <c r="J76" s="1">
        <v>182.74</v>
      </c>
      <c r="K76" s="1">
        <v>163.9</v>
      </c>
      <c r="L76" s="1">
        <v>155.4</v>
      </c>
      <c r="M76" s="1">
        <v>165.48</v>
      </c>
      <c r="N76" s="1">
        <v>114.9</v>
      </c>
      <c r="O76" s="1">
        <v>168.38000000000002</v>
      </c>
      <c r="P76" s="1">
        <v>160.66</v>
      </c>
      <c r="Q76" s="1">
        <v>171.76000000000002</v>
      </c>
      <c r="R76" s="1">
        <v>162.34</v>
      </c>
      <c r="S76" s="1">
        <v>191.42000000000002</v>
      </c>
      <c r="T76" s="1">
        <v>162.52000000000001</v>
      </c>
      <c r="U76" s="1">
        <v>153.07999999999998</v>
      </c>
      <c r="V76" s="1">
        <v>161.16</v>
      </c>
      <c r="W76" s="1">
        <v>160.86666666666667</v>
      </c>
      <c r="X76" s="1">
        <v>159.98000000000002</v>
      </c>
      <c r="Y76" s="1">
        <v>155.76</v>
      </c>
      <c r="Z76" s="1">
        <v>166.6</v>
      </c>
      <c r="AA76" s="1">
        <v>151.68</v>
      </c>
      <c r="AB76" s="1">
        <v>156.5</v>
      </c>
      <c r="AC76" s="1">
        <v>163</v>
      </c>
      <c r="AD76" s="1">
        <v>159.04</v>
      </c>
      <c r="AE76" s="1">
        <v>158.42000000000002</v>
      </c>
      <c r="AF76" s="1">
        <v>161.48000000000002</v>
      </c>
      <c r="AG76" s="1">
        <f t="shared" si="8"/>
        <v>2129.7600000000002</v>
      </c>
      <c r="AH76" s="1">
        <f t="shared" si="9"/>
        <v>191.42000000000002</v>
      </c>
      <c r="AI76" s="1">
        <f t="shared" si="10"/>
        <v>476.76</v>
      </c>
      <c r="AJ76" s="1">
        <f t="shared" si="11"/>
        <v>160.86666666666667</v>
      </c>
      <c r="AK76" s="1">
        <f t="shared" si="12"/>
        <v>159.98000000000002</v>
      </c>
      <c r="AL76" s="1">
        <f t="shared" si="13"/>
        <v>1111</v>
      </c>
    </row>
    <row r="77" spans="1:38" x14ac:dyDescent="0.3">
      <c r="A77" t="s">
        <v>28</v>
      </c>
      <c r="B77" s="1">
        <v>2021</v>
      </c>
      <c r="C77" t="s">
        <v>34</v>
      </c>
      <c r="D77" t="str">
        <f t="shared" si="7"/>
        <v>2021-April</v>
      </c>
      <c r="E77" s="1">
        <v>4</v>
      </c>
      <c r="F77" s="1">
        <v>145.69999999999999</v>
      </c>
      <c r="G77" s="1">
        <v>199.76</v>
      </c>
      <c r="H77" s="1">
        <v>167.2</v>
      </c>
      <c r="I77" s="1">
        <v>155.74</v>
      </c>
      <c r="J77" s="1">
        <v>171.98</v>
      </c>
      <c r="K77" s="1">
        <v>165.72</v>
      </c>
      <c r="L77" s="1">
        <v>149.13999999999999</v>
      </c>
      <c r="M77" s="1">
        <v>163.32</v>
      </c>
      <c r="N77" s="1">
        <v>114.06</v>
      </c>
      <c r="O77" s="1">
        <v>165.2</v>
      </c>
      <c r="P77" s="1">
        <v>157.52000000000001</v>
      </c>
      <c r="Q77" s="1">
        <v>169.60000000000002</v>
      </c>
      <c r="R77" s="1">
        <v>159.69999999999999</v>
      </c>
      <c r="S77" s="1">
        <v>191.56</v>
      </c>
      <c r="T77" s="1">
        <v>159.44</v>
      </c>
      <c r="U77" s="1">
        <v>148.74</v>
      </c>
      <c r="V77" s="1">
        <v>157.84</v>
      </c>
      <c r="W77" s="1">
        <v>161.46666666666667</v>
      </c>
      <c r="X77" s="1">
        <v>156.74</v>
      </c>
      <c r="Y77" s="1">
        <v>152.76000000000002</v>
      </c>
      <c r="Z77" s="1">
        <v>162.92000000000002</v>
      </c>
      <c r="AA77" s="1">
        <v>147.71999999999997</v>
      </c>
      <c r="AB77" s="1">
        <v>154.69999999999999</v>
      </c>
      <c r="AC77" s="1">
        <v>161.24</v>
      </c>
      <c r="AD77" s="1">
        <v>156.68</v>
      </c>
      <c r="AE77" s="1">
        <v>155.26</v>
      </c>
      <c r="AF77" s="1">
        <v>158.80000000000001</v>
      </c>
      <c r="AG77" s="1">
        <f t="shared" si="8"/>
        <v>2084.64</v>
      </c>
      <c r="AH77" s="1">
        <f t="shared" si="9"/>
        <v>191.56</v>
      </c>
      <c r="AI77" s="1">
        <f t="shared" si="10"/>
        <v>466.02</v>
      </c>
      <c r="AJ77" s="1">
        <f t="shared" si="11"/>
        <v>161.46666666666667</v>
      </c>
      <c r="AK77" s="1">
        <f t="shared" si="12"/>
        <v>156.74</v>
      </c>
      <c r="AL77" s="1">
        <f t="shared" si="13"/>
        <v>1091.28</v>
      </c>
    </row>
    <row r="78" spans="1:38" x14ac:dyDescent="0.3">
      <c r="A78" t="s">
        <v>30</v>
      </c>
      <c r="B78" s="1">
        <v>2021</v>
      </c>
      <c r="C78" t="s">
        <v>34</v>
      </c>
      <c r="D78" t="str">
        <f t="shared" si="7"/>
        <v>2021-April</v>
      </c>
      <c r="E78" s="1">
        <v>4</v>
      </c>
      <c r="F78" s="1">
        <v>146.41999999999999</v>
      </c>
      <c r="G78" s="1">
        <v>200.76</v>
      </c>
      <c r="H78" s="1">
        <v>168.58</v>
      </c>
      <c r="I78" s="1">
        <v>155.96</v>
      </c>
      <c r="J78" s="1">
        <v>172.68</v>
      </c>
      <c r="K78" s="1">
        <v>167.02</v>
      </c>
      <c r="L78" s="1">
        <v>151.69999999999999</v>
      </c>
      <c r="M78" s="1">
        <v>164.18</v>
      </c>
      <c r="N78" s="1">
        <v>114.58</v>
      </c>
      <c r="O78" s="1">
        <v>165.95999999999998</v>
      </c>
      <c r="P78" s="1">
        <v>157</v>
      </c>
      <c r="Q78" s="1">
        <v>170.32</v>
      </c>
      <c r="R78" s="1">
        <v>160.71999999999997</v>
      </c>
      <c r="S78" s="1">
        <v>192.57999999999998</v>
      </c>
      <c r="T78" s="1">
        <v>159.66</v>
      </c>
      <c r="U78" s="1">
        <v>148.13999999999999</v>
      </c>
      <c r="V78" s="1">
        <v>157.94</v>
      </c>
      <c r="W78" s="1">
        <v>161.5</v>
      </c>
      <c r="X78" s="1">
        <v>157.42000000000002</v>
      </c>
      <c r="Y78" s="1">
        <v>152.6</v>
      </c>
      <c r="Z78" s="1">
        <v>163.01999999999998</v>
      </c>
      <c r="AA78" s="1">
        <v>147.16</v>
      </c>
      <c r="AB78" s="1">
        <v>154.14000000000001</v>
      </c>
      <c r="AC78" s="1">
        <v>160.66</v>
      </c>
      <c r="AD78" s="1">
        <v>157.47999999999999</v>
      </c>
      <c r="AE78" s="1">
        <v>155.01999999999998</v>
      </c>
      <c r="AF78" s="1">
        <v>159.35999999999999</v>
      </c>
      <c r="AG78" s="1">
        <f t="shared" si="8"/>
        <v>2095.88</v>
      </c>
      <c r="AH78" s="1">
        <f t="shared" si="9"/>
        <v>192.57999999999998</v>
      </c>
      <c r="AI78" s="1">
        <f t="shared" si="10"/>
        <v>465.73999999999995</v>
      </c>
      <c r="AJ78" s="1">
        <f t="shared" si="11"/>
        <v>161.5</v>
      </c>
      <c r="AK78" s="1">
        <f t="shared" si="12"/>
        <v>157.42000000000002</v>
      </c>
      <c r="AL78" s="1">
        <f t="shared" si="13"/>
        <v>1090.08</v>
      </c>
    </row>
    <row r="79" spans="1:38" x14ac:dyDescent="0.3">
      <c r="A79" t="s">
        <v>31</v>
      </c>
      <c r="B79" s="1">
        <v>2021</v>
      </c>
      <c r="C79" t="s">
        <v>34</v>
      </c>
      <c r="D79" t="str">
        <f t="shared" si="7"/>
        <v>2021-April</v>
      </c>
      <c r="E79" s="1">
        <v>4</v>
      </c>
      <c r="F79" s="1">
        <v>146.02000000000001</v>
      </c>
      <c r="G79" s="1">
        <v>200.28</v>
      </c>
      <c r="H79" s="1">
        <v>171.16</v>
      </c>
      <c r="I79" s="1">
        <v>155.97999999999999</v>
      </c>
      <c r="J79" s="1">
        <v>178.48</v>
      </c>
      <c r="K79" s="1">
        <v>164.98</v>
      </c>
      <c r="L79" s="1">
        <v>148.32</v>
      </c>
      <c r="M79" s="1">
        <v>164.72</v>
      </c>
      <c r="N79" s="1">
        <v>114.54</v>
      </c>
      <c r="O79" s="1">
        <v>167.4</v>
      </c>
      <c r="P79" s="1">
        <v>159.80000000000001</v>
      </c>
      <c r="Q79" s="1">
        <v>170.38000000000002</v>
      </c>
      <c r="R79" s="1">
        <v>160.41999999999999</v>
      </c>
      <c r="S79" s="1">
        <v>191.51999999999998</v>
      </c>
      <c r="T79" s="1">
        <v>161.54000000000002</v>
      </c>
      <c r="U79" s="1">
        <v>152.26</v>
      </c>
      <c r="V79" s="1">
        <v>160.18</v>
      </c>
      <c r="W79" s="1">
        <v>161.53333333333333</v>
      </c>
      <c r="X79" s="1">
        <v>158.85999999999999</v>
      </c>
      <c r="Y79" s="1">
        <v>154.92000000000002</v>
      </c>
      <c r="Z79" s="1">
        <v>165.45999999999998</v>
      </c>
      <c r="AA79" s="1">
        <v>149.57999999999998</v>
      </c>
      <c r="AB79" s="1">
        <v>156.39999999999998</v>
      </c>
      <c r="AC79" s="1">
        <v>162.5</v>
      </c>
      <c r="AD79" s="1">
        <v>158.04000000000002</v>
      </c>
      <c r="AE79" s="1">
        <v>157.22</v>
      </c>
      <c r="AF79" s="1">
        <v>160.18</v>
      </c>
      <c r="AG79" s="1">
        <f t="shared" si="8"/>
        <v>2102.48</v>
      </c>
      <c r="AH79" s="1">
        <f t="shared" si="9"/>
        <v>191.51999999999998</v>
      </c>
      <c r="AI79" s="1">
        <f t="shared" si="10"/>
        <v>473.98</v>
      </c>
      <c r="AJ79" s="1">
        <f t="shared" si="11"/>
        <v>161.53333333333333</v>
      </c>
      <c r="AK79" s="1">
        <f t="shared" si="12"/>
        <v>158.85999999999999</v>
      </c>
      <c r="AL79" s="1">
        <f t="shared" si="13"/>
        <v>1104.1199999999999</v>
      </c>
    </row>
    <row r="80" spans="1:38" x14ac:dyDescent="0.3">
      <c r="A80" t="s">
        <v>28</v>
      </c>
      <c r="B80" s="1">
        <v>2021</v>
      </c>
      <c r="C80" t="s">
        <v>33</v>
      </c>
      <c r="D80" t="str">
        <f t="shared" si="7"/>
        <v>2021-March</v>
      </c>
      <c r="E80" s="1">
        <v>3</v>
      </c>
      <c r="F80" s="1">
        <v>144.88</v>
      </c>
      <c r="G80" s="1">
        <v>195.42</v>
      </c>
      <c r="H80" s="1">
        <v>164.3</v>
      </c>
      <c r="I80" s="1">
        <v>155.19999999999999</v>
      </c>
      <c r="J80" s="1">
        <v>165.02</v>
      </c>
      <c r="K80" s="1">
        <v>158.18</v>
      </c>
      <c r="L80" s="1">
        <v>150.66</v>
      </c>
      <c r="M80" s="1">
        <v>160.80000000000001</v>
      </c>
      <c r="N80" s="1">
        <v>113.12</v>
      </c>
      <c r="O80" s="1">
        <v>163.45999999999998</v>
      </c>
      <c r="P80" s="1">
        <v>156.23999999999998</v>
      </c>
      <c r="Q80" s="1">
        <v>168.62</v>
      </c>
      <c r="R80" s="1">
        <v>157.83999999999997</v>
      </c>
      <c r="S80" s="1">
        <v>189.78</v>
      </c>
      <c r="T80" s="1">
        <v>157.82</v>
      </c>
      <c r="U80" s="1">
        <v>147.08000000000001</v>
      </c>
      <c r="V80" s="1">
        <v>156.23999999999998</v>
      </c>
      <c r="W80" s="1">
        <v>160.4</v>
      </c>
      <c r="X80" s="1">
        <v>155.44</v>
      </c>
      <c r="Y80" s="1">
        <v>151.26000000000002</v>
      </c>
      <c r="Z80" s="1">
        <v>161.19999999999999</v>
      </c>
      <c r="AA80" s="1">
        <v>146.6</v>
      </c>
      <c r="AB80" s="1">
        <v>153.34</v>
      </c>
      <c r="AC80" s="1">
        <v>160.66</v>
      </c>
      <c r="AD80" s="1">
        <v>154.6</v>
      </c>
      <c r="AE80" s="1">
        <v>153.92000000000002</v>
      </c>
      <c r="AF80" s="1">
        <v>157.19999999999999</v>
      </c>
      <c r="AG80" s="1">
        <f t="shared" si="8"/>
        <v>2053.7400000000002</v>
      </c>
      <c r="AH80" s="1">
        <f t="shared" si="9"/>
        <v>189.78</v>
      </c>
      <c r="AI80" s="1">
        <f t="shared" si="10"/>
        <v>461.14</v>
      </c>
      <c r="AJ80" s="1">
        <f t="shared" si="11"/>
        <v>160.4</v>
      </c>
      <c r="AK80" s="1">
        <f t="shared" si="12"/>
        <v>155.44</v>
      </c>
      <c r="AL80" s="1">
        <f t="shared" si="13"/>
        <v>1081.5800000000002</v>
      </c>
    </row>
    <row r="81" spans="1:38" x14ac:dyDescent="0.3">
      <c r="A81" t="s">
        <v>30</v>
      </c>
      <c r="B81" s="1">
        <v>2021</v>
      </c>
      <c r="C81" t="s">
        <v>33</v>
      </c>
      <c r="D81" t="str">
        <f t="shared" si="7"/>
        <v>2021-March</v>
      </c>
      <c r="E81" s="1">
        <v>3</v>
      </c>
      <c r="F81" s="1">
        <v>145.24</v>
      </c>
      <c r="G81" s="1">
        <v>197.14</v>
      </c>
      <c r="H81" s="1">
        <v>164.58</v>
      </c>
      <c r="I81" s="1">
        <v>155.38</v>
      </c>
      <c r="J81" s="1">
        <v>165.4</v>
      </c>
      <c r="K81" s="1">
        <v>160.96</v>
      </c>
      <c r="L81" s="1">
        <v>151.28</v>
      </c>
      <c r="M81" s="1">
        <v>161.30000000000001</v>
      </c>
      <c r="N81" s="1">
        <v>113.4</v>
      </c>
      <c r="O81" s="1">
        <v>163.44</v>
      </c>
      <c r="P81" s="1">
        <v>155.64000000000001</v>
      </c>
      <c r="Q81" s="1">
        <v>169.12</v>
      </c>
      <c r="R81" s="1">
        <v>158.54000000000002</v>
      </c>
      <c r="S81" s="1">
        <v>190.32000000000002</v>
      </c>
      <c r="T81" s="1">
        <v>157.66</v>
      </c>
      <c r="U81" s="1">
        <v>145.9</v>
      </c>
      <c r="V81" s="1">
        <v>155.91999999999999</v>
      </c>
      <c r="W81" s="1">
        <v>160.65</v>
      </c>
      <c r="X81" s="1">
        <v>155.36000000000001</v>
      </c>
      <c r="Y81" s="1">
        <v>150.66</v>
      </c>
      <c r="Z81" s="1">
        <v>160.74</v>
      </c>
      <c r="AA81" s="1">
        <v>145.66</v>
      </c>
      <c r="AB81" s="1">
        <v>152.41999999999999</v>
      </c>
      <c r="AC81" s="1">
        <v>159.95999999999998</v>
      </c>
      <c r="AD81" s="1">
        <v>155.06</v>
      </c>
      <c r="AE81" s="1">
        <v>153.33999999999997</v>
      </c>
      <c r="AF81" s="1">
        <v>157.42000000000002</v>
      </c>
      <c r="AG81" s="1">
        <f t="shared" si="8"/>
        <v>2061.42</v>
      </c>
      <c r="AH81" s="1">
        <f t="shared" si="9"/>
        <v>190.32000000000002</v>
      </c>
      <c r="AI81" s="1">
        <f t="shared" si="10"/>
        <v>459.48</v>
      </c>
      <c r="AJ81" s="1">
        <f t="shared" si="11"/>
        <v>160.65</v>
      </c>
      <c r="AK81" s="1">
        <f t="shared" si="12"/>
        <v>155.36000000000001</v>
      </c>
      <c r="AL81" s="1">
        <f t="shared" si="13"/>
        <v>1077.8399999999997</v>
      </c>
    </row>
    <row r="82" spans="1:38" x14ac:dyDescent="0.3">
      <c r="A82" t="s">
        <v>31</v>
      </c>
      <c r="B82" s="1">
        <v>2021</v>
      </c>
      <c r="C82" t="s">
        <v>33</v>
      </c>
      <c r="D82" t="str">
        <f t="shared" si="7"/>
        <v>2021-March</v>
      </c>
      <c r="E82" s="1">
        <v>3</v>
      </c>
      <c r="F82" s="1">
        <v>144.76</v>
      </c>
      <c r="G82" s="1">
        <v>197.34</v>
      </c>
      <c r="H82" s="1">
        <v>165.36</v>
      </c>
      <c r="I82" s="1">
        <v>155.41999999999999</v>
      </c>
      <c r="J82" s="1">
        <v>171</v>
      </c>
      <c r="K82" s="1">
        <v>161.96</v>
      </c>
      <c r="L82" s="1">
        <v>145.74</v>
      </c>
      <c r="M82" s="1">
        <v>162.1</v>
      </c>
      <c r="N82" s="1">
        <v>113.4</v>
      </c>
      <c r="O82" s="1">
        <v>164.85999999999999</v>
      </c>
      <c r="P82" s="1">
        <v>158.42000000000002</v>
      </c>
      <c r="Q82" s="1">
        <v>169.01999999999998</v>
      </c>
      <c r="R82" s="1">
        <v>158.19999999999999</v>
      </c>
      <c r="S82" s="1">
        <v>189.54</v>
      </c>
      <c r="T82" s="1">
        <v>159.69999999999999</v>
      </c>
      <c r="U82" s="1">
        <v>150.28</v>
      </c>
      <c r="V82" s="1">
        <v>158.30000000000001</v>
      </c>
      <c r="W82" s="1">
        <v>160.9</v>
      </c>
      <c r="X82" s="1">
        <v>156.74</v>
      </c>
      <c r="Y82" s="1">
        <v>152.97999999999996</v>
      </c>
      <c r="Z82" s="1">
        <v>163.18</v>
      </c>
      <c r="AA82" s="1">
        <v>147.95999999999998</v>
      </c>
      <c r="AB82" s="1">
        <v>154.69999999999999</v>
      </c>
      <c r="AC82" s="1">
        <v>161.96</v>
      </c>
      <c r="AD82" s="1">
        <v>155.94</v>
      </c>
      <c r="AE82" s="1">
        <v>155.56</v>
      </c>
      <c r="AF82" s="1">
        <v>158.26000000000002</v>
      </c>
      <c r="AG82" s="1">
        <f t="shared" si="8"/>
        <v>2067.58</v>
      </c>
      <c r="AH82" s="1">
        <f t="shared" si="9"/>
        <v>189.54</v>
      </c>
      <c r="AI82" s="1">
        <f t="shared" si="10"/>
        <v>468.28000000000003</v>
      </c>
      <c r="AJ82" s="1">
        <f t="shared" si="11"/>
        <v>160.9</v>
      </c>
      <c r="AK82" s="1">
        <f t="shared" si="12"/>
        <v>156.74</v>
      </c>
      <c r="AL82" s="1">
        <f t="shared" si="13"/>
        <v>1092.28</v>
      </c>
    </row>
    <row r="83" spans="1:38" x14ac:dyDescent="0.3">
      <c r="A83" t="s">
        <v>28</v>
      </c>
      <c r="B83" s="1">
        <v>2021</v>
      </c>
      <c r="C83" t="s">
        <v>32</v>
      </c>
      <c r="D83" t="str">
        <f t="shared" si="7"/>
        <v>2021-February</v>
      </c>
      <c r="E83" s="1">
        <v>2</v>
      </c>
      <c r="F83" s="1">
        <v>144.94</v>
      </c>
      <c r="G83" s="1">
        <v>189.72</v>
      </c>
      <c r="H83" s="1">
        <v>166.9</v>
      </c>
      <c r="I83" s="1">
        <v>154.86000000000001</v>
      </c>
      <c r="J83" s="1">
        <v>159.54</v>
      </c>
      <c r="K83" s="1">
        <v>152.06</v>
      </c>
      <c r="L83" s="1">
        <v>159.4</v>
      </c>
      <c r="M83" s="1">
        <v>159.44</v>
      </c>
      <c r="N83" s="1">
        <v>113.1</v>
      </c>
      <c r="O83" s="1">
        <v>163.66000000000003</v>
      </c>
      <c r="P83" s="1">
        <v>155.19999999999999</v>
      </c>
      <c r="Q83" s="1">
        <v>167.88000000000002</v>
      </c>
      <c r="R83" s="1">
        <v>157.45999999999998</v>
      </c>
      <c r="S83" s="1">
        <v>189.54000000000002</v>
      </c>
      <c r="T83" s="1">
        <v>157.04</v>
      </c>
      <c r="U83" s="1">
        <v>146.51999999999998</v>
      </c>
      <c r="V83" s="1">
        <v>155.50000000000003</v>
      </c>
      <c r="W83" s="1">
        <v>159.83333333333334</v>
      </c>
      <c r="X83" s="1">
        <v>153.34</v>
      </c>
      <c r="Y83" s="1">
        <v>150.84</v>
      </c>
      <c r="Z83" s="1">
        <v>160.68</v>
      </c>
      <c r="AA83" s="1">
        <v>145.76</v>
      </c>
      <c r="AB83" s="1">
        <v>152.44</v>
      </c>
      <c r="AC83" s="1">
        <v>160.22</v>
      </c>
      <c r="AD83" s="1">
        <v>155.13999999999999</v>
      </c>
      <c r="AE83" s="1">
        <v>153.44</v>
      </c>
      <c r="AF83" s="1">
        <v>156.68</v>
      </c>
      <c r="AG83" s="1">
        <f t="shared" si="8"/>
        <v>2044.1600000000003</v>
      </c>
      <c r="AH83" s="1">
        <f t="shared" si="9"/>
        <v>189.54000000000002</v>
      </c>
      <c r="AI83" s="1">
        <f t="shared" si="10"/>
        <v>459.05999999999995</v>
      </c>
      <c r="AJ83" s="1">
        <f t="shared" si="11"/>
        <v>159.83333333333334</v>
      </c>
      <c r="AK83" s="1">
        <f t="shared" si="12"/>
        <v>153.34</v>
      </c>
      <c r="AL83" s="1">
        <f t="shared" si="13"/>
        <v>1078.52</v>
      </c>
    </row>
    <row r="84" spans="1:38" x14ac:dyDescent="0.3">
      <c r="A84" t="s">
        <v>30</v>
      </c>
      <c r="B84" s="1">
        <v>2021</v>
      </c>
      <c r="C84" t="s">
        <v>32</v>
      </c>
      <c r="D84" t="str">
        <f t="shared" si="7"/>
        <v>2021-February</v>
      </c>
      <c r="E84" s="1">
        <v>2</v>
      </c>
      <c r="F84" s="1">
        <v>145.19999999999999</v>
      </c>
      <c r="G84" s="1">
        <v>191.36</v>
      </c>
      <c r="H84" s="1">
        <v>166.06</v>
      </c>
      <c r="I84" s="1">
        <v>154.96</v>
      </c>
      <c r="J84" s="1">
        <v>159.72</v>
      </c>
      <c r="K84" s="1">
        <v>153.24</v>
      </c>
      <c r="L84" s="1">
        <v>159.36000000000001</v>
      </c>
      <c r="M84" s="1">
        <v>159.74</v>
      </c>
      <c r="N84" s="1">
        <v>113.26</v>
      </c>
      <c r="O84" s="1">
        <v>163.35999999999999</v>
      </c>
      <c r="P84" s="1">
        <v>154.5</v>
      </c>
      <c r="Q84" s="1">
        <v>168.35999999999999</v>
      </c>
      <c r="R84" s="1">
        <v>157.85999999999999</v>
      </c>
      <c r="S84" s="1">
        <v>189.86</v>
      </c>
      <c r="T84" s="1">
        <v>156.78000000000003</v>
      </c>
      <c r="U84" s="1">
        <v>145.32</v>
      </c>
      <c r="V84" s="1">
        <v>155.1</v>
      </c>
      <c r="W84" s="1">
        <v>159.85</v>
      </c>
      <c r="X84" s="1">
        <v>153.56</v>
      </c>
      <c r="Y84" s="1">
        <v>150.11999999999998</v>
      </c>
      <c r="Z84" s="1">
        <v>160.16</v>
      </c>
      <c r="AA84" s="1">
        <v>144.95999999999998</v>
      </c>
      <c r="AB84" s="1">
        <v>151.56</v>
      </c>
      <c r="AC84" s="1">
        <v>159.54000000000002</v>
      </c>
      <c r="AD84" s="1">
        <v>154.85999999999999</v>
      </c>
      <c r="AE84" s="1">
        <v>152.76</v>
      </c>
      <c r="AF84" s="1">
        <v>156.69999999999999</v>
      </c>
      <c r="AG84" s="1">
        <f t="shared" si="8"/>
        <v>2046.9799999999998</v>
      </c>
      <c r="AH84" s="1">
        <f t="shared" si="9"/>
        <v>189.86</v>
      </c>
      <c r="AI84" s="1">
        <f t="shared" si="10"/>
        <v>457.20000000000005</v>
      </c>
      <c r="AJ84" s="1">
        <f t="shared" si="11"/>
        <v>159.85</v>
      </c>
      <c r="AK84" s="1">
        <f t="shared" si="12"/>
        <v>153.56</v>
      </c>
      <c r="AL84" s="1">
        <f t="shared" si="13"/>
        <v>1073.96</v>
      </c>
    </row>
    <row r="85" spans="1:38" x14ac:dyDescent="0.3">
      <c r="A85" t="s">
        <v>31</v>
      </c>
      <c r="B85" s="1">
        <v>2021</v>
      </c>
      <c r="C85" t="s">
        <v>32</v>
      </c>
      <c r="D85" t="str">
        <f t="shared" si="7"/>
        <v>2021-February</v>
      </c>
      <c r="E85" s="1">
        <v>2</v>
      </c>
      <c r="F85" s="1">
        <v>144.22</v>
      </c>
      <c r="G85" s="1">
        <v>192.22</v>
      </c>
      <c r="H85" s="1">
        <v>164.76</v>
      </c>
      <c r="I85" s="1">
        <v>154.94</v>
      </c>
      <c r="J85" s="1">
        <v>164.48</v>
      </c>
      <c r="K85" s="1">
        <v>154.56</v>
      </c>
      <c r="L85" s="1">
        <v>150.34</v>
      </c>
      <c r="M85" s="1">
        <v>160</v>
      </c>
      <c r="N85" s="1">
        <v>112.72</v>
      </c>
      <c r="O85" s="1">
        <v>163.73999999999998</v>
      </c>
      <c r="P85" s="1">
        <v>157.04</v>
      </c>
      <c r="Q85" s="1">
        <v>167.84</v>
      </c>
      <c r="R85" s="1">
        <v>156.82</v>
      </c>
      <c r="S85" s="1">
        <v>188.56</v>
      </c>
      <c r="T85" s="1">
        <v>158.08000000000001</v>
      </c>
      <c r="U85" s="1">
        <v>148.69999999999999</v>
      </c>
      <c r="V85" s="1">
        <v>156.72</v>
      </c>
      <c r="W85" s="1">
        <v>159.86666666666667</v>
      </c>
      <c r="X85" s="1">
        <v>154.94</v>
      </c>
      <c r="Y85" s="1">
        <v>151.92000000000002</v>
      </c>
      <c r="Z85" s="1">
        <v>161.95999999999998</v>
      </c>
      <c r="AA85" s="1">
        <v>147.19999999999999</v>
      </c>
      <c r="AB85" s="1">
        <v>153.82</v>
      </c>
      <c r="AC85" s="1">
        <v>161.04</v>
      </c>
      <c r="AD85" s="1">
        <v>154.44</v>
      </c>
      <c r="AE85" s="1">
        <v>154.5</v>
      </c>
      <c r="AF85" s="1">
        <v>156.92000000000002</v>
      </c>
      <c r="AG85" s="1">
        <f t="shared" si="8"/>
        <v>2043.6799999999998</v>
      </c>
      <c r="AH85" s="1">
        <f t="shared" si="9"/>
        <v>188.56</v>
      </c>
      <c r="AI85" s="1">
        <f t="shared" si="10"/>
        <v>463.5</v>
      </c>
      <c r="AJ85" s="1">
        <f t="shared" si="11"/>
        <v>159.86666666666667</v>
      </c>
      <c r="AK85" s="1">
        <f t="shared" si="12"/>
        <v>154.94</v>
      </c>
      <c r="AL85" s="1">
        <f t="shared" si="13"/>
        <v>1084.8799999999999</v>
      </c>
    </row>
    <row r="86" spans="1:38" x14ac:dyDescent="0.3">
      <c r="A86" t="s">
        <v>28</v>
      </c>
      <c r="B86" s="1">
        <v>2021</v>
      </c>
      <c r="C86" t="s">
        <v>29</v>
      </c>
      <c r="D86" t="str">
        <f t="shared" si="7"/>
        <v>2021-January</v>
      </c>
      <c r="E86" s="1">
        <v>1</v>
      </c>
      <c r="F86" s="1">
        <v>145.34</v>
      </c>
      <c r="G86" s="1">
        <v>189.52</v>
      </c>
      <c r="H86" s="1">
        <v>173</v>
      </c>
      <c r="I86" s="1">
        <v>154.4</v>
      </c>
      <c r="J86" s="1">
        <v>152.84</v>
      </c>
      <c r="K86" s="1">
        <v>150.19999999999999</v>
      </c>
      <c r="L86" s="1">
        <v>183.74</v>
      </c>
      <c r="M86" s="1">
        <v>160.02000000000001</v>
      </c>
      <c r="N86" s="1">
        <v>114.28</v>
      </c>
      <c r="O86" s="1">
        <v>163.80000000000001</v>
      </c>
      <c r="P86" s="1">
        <v>152.6</v>
      </c>
      <c r="Q86" s="1">
        <v>166.46</v>
      </c>
      <c r="R86" s="1">
        <v>159.9</v>
      </c>
      <c r="S86" s="1">
        <v>188.54000000000002</v>
      </c>
      <c r="T86" s="1">
        <v>155.76</v>
      </c>
      <c r="U86" s="1">
        <v>145.58000000000001</v>
      </c>
      <c r="V86" s="1">
        <v>154.28000000000003</v>
      </c>
      <c r="W86" s="1">
        <v>158.4</v>
      </c>
      <c r="X86" s="1">
        <v>149.04000000000002</v>
      </c>
      <c r="Y86" s="1">
        <v>150.18</v>
      </c>
      <c r="Z86" s="1">
        <v>159.30000000000001</v>
      </c>
      <c r="AA86" s="1">
        <v>143.4</v>
      </c>
      <c r="AB86" s="1">
        <v>150.88000000000002</v>
      </c>
      <c r="AC86" s="1">
        <v>159.80000000000001</v>
      </c>
      <c r="AD86" s="1">
        <v>156.51999999999998</v>
      </c>
      <c r="AE86" s="1">
        <v>152.37999999999997</v>
      </c>
      <c r="AF86" s="1">
        <v>157</v>
      </c>
      <c r="AG86" s="1">
        <f t="shared" si="8"/>
        <v>2066.1</v>
      </c>
      <c r="AH86" s="1">
        <f t="shared" si="9"/>
        <v>188.54000000000002</v>
      </c>
      <c r="AI86" s="1">
        <f t="shared" si="10"/>
        <v>455.62000000000006</v>
      </c>
      <c r="AJ86" s="1">
        <f t="shared" si="11"/>
        <v>158.4</v>
      </c>
      <c r="AK86" s="1">
        <f t="shared" si="12"/>
        <v>149.04000000000002</v>
      </c>
      <c r="AL86" s="1">
        <f t="shared" si="13"/>
        <v>1072.4599999999998</v>
      </c>
    </row>
    <row r="87" spans="1:38" x14ac:dyDescent="0.3">
      <c r="A87" t="s">
        <v>30</v>
      </c>
      <c r="B87" s="1">
        <v>2021</v>
      </c>
      <c r="C87" t="s">
        <v>29</v>
      </c>
      <c r="D87" t="str">
        <f t="shared" si="7"/>
        <v>2021-January</v>
      </c>
      <c r="E87" s="1">
        <v>1</v>
      </c>
      <c r="F87" s="1">
        <v>145.52000000000001</v>
      </c>
      <c r="G87" s="1">
        <v>189.32</v>
      </c>
      <c r="H87" s="1">
        <v>172.06</v>
      </c>
      <c r="I87" s="1">
        <v>154.54</v>
      </c>
      <c r="J87" s="1">
        <v>153.62</v>
      </c>
      <c r="K87" s="1">
        <v>150.94</v>
      </c>
      <c r="L87" s="1">
        <v>178.18</v>
      </c>
      <c r="M87" s="1">
        <v>159.88</v>
      </c>
      <c r="N87" s="1">
        <v>114.08</v>
      </c>
      <c r="O87" s="1">
        <v>163.74</v>
      </c>
      <c r="P87" s="1">
        <v>152.48000000000002</v>
      </c>
      <c r="Q87" s="1">
        <v>167.1</v>
      </c>
      <c r="R87" s="1">
        <v>159.35999999999999</v>
      </c>
      <c r="S87" s="1">
        <v>189.27999999999997</v>
      </c>
      <c r="T87" s="1">
        <v>155.69999999999999</v>
      </c>
      <c r="U87" s="1">
        <v>144.57999999999998</v>
      </c>
      <c r="V87" s="1">
        <v>154.07999999999998</v>
      </c>
      <c r="W87" s="1">
        <v>158.75</v>
      </c>
      <c r="X87" s="1">
        <v>149.34</v>
      </c>
      <c r="Y87" s="1">
        <v>149.57999999999998</v>
      </c>
      <c r="Z87" s="1">
        <v>159.06</v>
      </c>
      <c r="AA87" s="1">
        <v>142.92000000000002</v>
      </c>
      <c r="AB87" s="1">
        <v>150.16</v>
      </c>
      <c r="AC87" s="1">
        <v>159</v>
      </c>
      <c r="AD87" s="1">
        <v>156.44</v>
      </c>
      <c r="AE87" s="1">
        <v>151.88</v>
      </c>
      <c r="AF87" s="1">
        <v>156.62</v>
      </c>
      <c r="AG87" s="1">
        <f t="shared" si="8"/>
        <v>2060.8199999999997</v>
      </c>
      <c r="AH87" s="1">
        <f t="shared" si="9"/>
        <v>189.27999999999997</v>
      </c>
      <c r="AI87" s="1">
        <f t="shared" si="10"/>
        <v>454.35999999999996</v>
      </c>
      <c r="AJ87" s="1">
        <f t="shared" si="11"/>
        <v>158.75</v>
      </c>
      <c r="AK87" s="1">
        <f t="shared" si="12"/>
        <v>149.34</v>
      </c>
      <c r="AL87" s="1">
        <f t="shared" si="13"/>
        <v>1069.04</v>
      </c>
    </row>
    <row r="88" spans="1:38" x14ac:dyDescent="0.3">
      <c r="A88" t="s">
        <v>31</v>
      </c>
      <c r="B88" s="1">
        <v>2021</v>
      </c>
      <c r="C88" t="s">
        <v>29</v>
      </c>
      <c r="D88" t="str">
        <f t="shared" si="7"/>
        <v>2021-January</v>
      </c>
      <c r="E88" s="1">
        <v>1</v>
      </c>
      <c r="F88" s="1">
        <v>144.41999999999999</v>
      </c>
      <c r="G88" s="1">
        <v>188.24</v>
      </c>
      <c r="H88" s="1">
        <v>169.02</v>
      </c>
      <c r="I88" s="1">
        <v>154.56</v>
      </c>
      <c r="J88" s="1">
        <v>158.44</v>
      </c>
      <c r="K88" s="1">
        <v>150.52000000000001</v>
      </c>
      <c r="L88" s="1">
        <v>165.02</v>
      </c>
      <c r="M88" s="1">
        <v>159.30000000000001</v>
      </c>
      <c r="N88" s="1">
        <v>113.16</v>
      </c>
      <c r="O88" s="1">
        <v>163.94</v>
      </c>
      <c r="P88" s="1">
        <v>155.42000000000002</v>
      </c>
      <c r="Q88" s="1">
        <v>166.94</v>
      </c>
      <c r="R88" s="1">
        <v>157.57999999999998</v>
      </c>
      <c r="S88" s="1">
        <v>188.14</v>
      </c>
      <c r="T88" s="1">
        <v>157.12</v>
      </c>
      <c r="U88" s="1">
        <v>148</v>
      </c>
      <c r="V88" s="1">
        <v>155.82</v>
      </c>
      <c r="W88" s="1">
        <v>159.1</v>
      </c>
      <c r="X88" s="1">
        <v>151.95999999999998</v>
      </c>
      <c r="Y88" s="1">
        <v>151.4</v>
      </c>
      <c r="Z88" s="1">
        <v>161.16000000000003</v>
      </c>
      <c r="AA88" s="1">
        <v>145.80000000000001</v>
      </c>
      <c r="AB88" s="1">
        <v>152.64000000000001</v>
      </c>
      <c r="AC88" s="1">
        <v>160.54000000000002</v>
      </c>
      <c r="AD88" s="1">
        <v>155.52000000000001</v>
      </c>
      <c r="AE88" s="1">
        <v>153.82000000000002</v>
      </c>
      <c r="AF88" s="1">
        <v>156.76</v>
      </c>
      <c r="AG88" s="1">
        <f t="shared" si="8"/>
        <v>2046.5600000000002</v>
      </c>
      <c r="AH88" s="1">
        <f t="shared" si="9"/>
        <v>188.14</v>
      </c>
      <c r="AI88" s="1">
        <f t="shared" si="10"/>
        <v>460.94</v>
      </c>
      <c r="AJ88" s="1">
        <f t="shared" si="11"/>
        <v>159.1</v>
      </c>
      <c r="AK88" s="1">
        <f t="shared" si="12"/>
        <v>151.95999999999998</v>
      </c>
      <c r="AL88" s="1">
        <f t="shared" si="13"/>
        <v>1080.8800000000001</v>
      </c>
    </row>
    <row r="89" spans="1:38" x14ac:dyDescent="0.3">
      <c r="A89" t="s">
        <v>28</v>
      </c>
      <c r="B89" s="1">
        <v>2020</v>
      </c>
      <c r="C89" t="s">
        <v>43</v>
      </c>
      <c r="D89" t="str">
        <f t="shared" si="7"/>
        <v>2020-December</v>
      </c>
      <c r="E89" s="1">
        <v>12</v>
      </c>
      <c r="F89" s="1">
        <v>146.19999999999999</v>
      </c>
      <c r="G89" s="1">
        <v>191.5</v>
      </c>
      <c r="H89" s="1">
        <v>175.76</v>
      </c>
      <c r="I89" s="1">
        <v>154.13999999999999</v>
      </c>
      <c r="J89" s="1">
        <v>147.24</v>
      </c>
      <c r="K89" s="1">
        <v>148.58000000000001</v>
      </c>
      <c r="L89" s="1">
        <v>218.24</v>
      </c>
      <c r="M89" s="1">
        <v>160.56</v>
      </c>
      <c r="N89" s="1">
        <v>115.38</v>
      </c>
      <c r="O89" s="1">
        <v>163.18</v>
      </c>
      <c r="P89" s="1">
        <v>149.57999999999998</v>
      </c>
      <c r="Q89" s="1">
        <v>165.2</v>
      </c>
      <c r="R89" s="1">
        <v>163.98</v>
      </c>
      <c r="S89" s="1">
        <v>187.11999999999998</v>
      </c>
      <c r="T89" s="1">
        <v>154.78</v>
      </c>
      <c r="U89" s="1">
        <v>144.67999999999998</v>
      </c>
      <c r="V89" s="1">
        <v>153.30000000000001</v>
      </c>
      <c r="W89" s="1">
        <v>158.16666666666666</v>
      </c>
      <c r="X89" s="1">
        <v>145</v>
      </c>
      <c r="Y89" s="1">
        <v>149.64000000000001</v>
      </c>
      <c r="Z89" s="1">
        <v>157.88</v>
      </c>
      <c r="AA89" s="1">
        <v>141.39999999999998</v>
      </c>
      <c r="AB89" s="1">
        <v>149.44</v>
      </c>
      <c r="AC89" s="1">
        <v>159.76000000000002</v>
      </c>
      <c r="AD89" s="1">
        <v>157.1</v>
      </c>
      <c r="AE89" s="1">
        <v>151.36000000000001</v>
      </c>
      <c r="AF89" s="1">
        <v>158.19999999999999</v>
      </c>
      <c r="AG89" s="1">
        <f t="shared" si="8"/>
        <v>2099.54</v>
      </c>
      <c r="AH89" s="1">
        <f t="shared" si="9"/>
        <v>187.11999999999998</v>
      </c>
      <c r="AI89" s="1">
        <f t="shared" si="10"/>
        <v>452.76</v>
      </c>
      <c r="AJ89" s="1">
        <f t="shared" si="11"/>
        <v>158.16666666666666</v>
      </c>
      <c r="AK89" s="1">
        <f t="shared" si="12"/>
        <v>145</v>
      </c>
      <c r="AL89" s="1">
        <f t="shared" si="13"/>
        <v>1066.58</v>
      </c>
    </row>
    <row r="90" spans="1:38" x14ac:dyDescent="0.3">
      <c r="A90" t="s">
        <v>30</v>
      </c>
      <c r="B90" s="1">
        <v>2020</v>
      </c>
      <c r="C90" t="s">
        <v>43</v>
      </c>
      <c r="D90" t="str">
        <f t="shared" si="7"/>
        <v>2020-December</v>
      </c>
      <c r="E90" s="1">
        <v>12</v>
      </c>
      <c r="F90" s="1">
        <v>146.26</v>
      </c>
      <c r="G90" s="1">
        <v>191.82</v>
      </c>
      <c r="H90" s="1">
        <v>176.14</v>
      </c>
      <c r="I90" s="1">
        <v>154.16</v>
      </c>
      <c r="J90" s="1">
        <v>147.41999999999999</v>
      </c>
      <c r="K90" s="1">
        <v>149.32</v>
      </c>
      <c r="L90" s="1">
        <v>212.04</v>
      </c>
      <c r="M90" s="1">
        <v>160.74</v>
      </c>
      <c r="N90" s="1">
        <v>115.42</v>
      </c>
      <c r="O90" s="1">
        <v>163.28</v>
      </c>
      <c r="P90" s="1">
        <v>149.26</v>
      </c>
      <c r="Q90" s="1">
        <v>165.6</v>
      </c>
      <c r="R90" s="1">
        <v>163.28</v>
      </c>
      <c r="S90" s="1">
        <v>187.7</v>
      </c>
      <c r="T90" s="1">
        <v>154.47999999999999</v>
      </c>
      <c r="U90" s="1">
        <v>143.57999999999998</v>
      </c>
      <c r="V90" s="1">
        <v>152.88000000000002</v>
      </c>
      <c r="W90" s="1">
        <v>158.05000000000001</v>
      </c>
      <c r="X90" s="1">
        <v>144.83999999999997</v>
      </c>
      <c r="Y90" s="1">
        <v>148.95999999999998</v>
      </c>
      <c r="Z90" s="1">
        <v>157.42000000000002</v>
      </c>
      <c r="AA90" s="1">
        <v>140.5</v>
      </c>
      <c r="AB90" s="1">
        <v>148.57999999999998</v>
      </c>
      <c r="AC90" s="1">
        <v>159.01999999999998</v>
      </c>
      <c r="AD90" s="1">
        <v>157.14000000000001</v>
      </c>
      <c r="AE90" s="1">
        <v>150.69999999999999</v>
      </c>
      <c r="AF90" s="1">
        <v>157.51999999999998</v>
      </c>
      <c r="AG90" s="1">
        <f t="shared" si="8"/>
        <v>2094.7399999999998</v>
      </c>
      <c r="AH90" s="1">
        <f t="shared" si="9"/>
        <v>187.7</v>
      </c>
      <c r="AI90" s="1">
        <f t="shared" si="10"/>
        <v>450.93999999999994</v>
      </c>
      <c r="AJ90" s="1">
        <f t="shared" si="11"/>
        <v>158.05000000000001</v>
      </c>
      <c r="AK90" s="1">
        <f t="shared" si="12"/>
        <v>144.83999999999997</v>
      </c>
      <c r="AL90" s="1">
        <f t="shared" si="13"/>
        <v>1062.32</v>
      </c>
    </row>
    <row r="91" spans="1:38" x14ac:dyDescent="0.3">
      <c r="A91" t="s">
        <v>31</v>
      </c>
      <c r="B91" s="1">
        <v>2020</v>
      </c>
      <c r="C91" t="s">
        <v>43</v>
      </c>
      <c r="D91" t="str">
        <f t="shared" si="7"/>
        <v>2020-December</v>
      </c>
      <c r="E91" s="1">
        <v>12</v>
      </c>
      <c r="F91" s="1">
        <v>145.02000000000001</v>
      </c>
      <c r="G91" s="1">
        <v>189.48</v>
      </c>
      <c r="H91" s="1">
        <v>174.08</v>
      </c>
      <c r="I91" s="1">
        <v>154.19999999999999</v>
      </c>
      <c r="J91" s="1">
        <v>151.88</v>
      </c>
      <c r="K91" s="1">
        <v>148.94</v>
      </c>
      <c r="L91" s="1">
        <v>193.8</v>
      </c>
      <c r="M91" s="1">
        <v>160.1</v>
      </c>
      <c r="N91" s="1">
        <v>114.36</v>
      </c>
      <c r="O91" s="1">
        <v>163.9</v>
      </c>
      <c r="P91" s="1">
        <v>152.6</v>
      </c>
      <c r="Q91" s="1">
        <v>165.54000000000002</v>
      </c>
      <c r="R91" s="1">
        <v>160.82</v>
      </c>
      <c r="S91" s="1">
        <v>186.95999999999998</v>
      </c>
      <c r="T91" s="1">
        <v>155.92000000000002</v>
      </c>
      <c r="U91" s="1">
        <v>147.02000000000001</v>
      </c>
      <c r="V91" s="1">
        <v>154.63999999999999</v>
      </c>
      <c r="W91" s="1">
        <v>157.93333333333334</v>
      </c>
      <c r="X91" s="1">
        <v>148.13999999999999</v>
      </c>
      <c r="Y91" s="1">
        <v>150.82</v>
      </c>
      <c r="Z91" s="1">
        <v>159.69999999999999</v>
      </c>
      <c r="AA91" s="1">
        <v>143.44</v>
      </c>
      <c r="AB91" s="1">
        <v>151.12</v>
      </c>
      <c r="AC91" s="1">
        <v>160.36000000000001</v>
      </c>
      <c r="AD91" s="1">
        <v>156.6</v>
      </c>
      <c r="AE91" s="1">
        <v>152.76</v>
      </c>
      <c r="AF91" s="1">
        <v>157.48000000000002</v>
      </c>
      <c r="AG91" s="1">
        <f t="shared" si="8"/>
        <v>2074.7199999999998</v>
      </c>
      <c r="AH91" s="1">
        <f t="shared" si="9"/>
        <v>186.95999999999998</v>
      </c>
      <c r="AI91" s="1">
        <f t="shared" si="10"/>
        <v>457.58000000000004</v>
      </c>
      <c r="AJ91" s="1">
        <f t="shared" si="11"/>
        <v>157.93333333333334</v>
      </c>
      <c r="AK91" s="1">
        <f t="shared" si="12"/>
        <v>148.13999999999999</v>
      </c>
      <c r="AL91" s="1">
        <f t="shared" si="13"/>
        <v>1074.8</v>
      </c>
    </row>
    <row r="92" spans="1:38" x14ac:dyDescent="0.3">
      <c r="A92" t="s">
        <v>28</v>
      </c>
      <c r="B92" s="1">
        <v>2020</v>
      </c>
      <c r="C92" t="s">
        <v>42</v>
      </c>
      <c r="D92" t="str">
        <f t="shared" si="7"/>
        <v>2020-November</v>
      </c>
      <c r="E92" s="1">
        <v>11</v>
      </c>
      <c r="F92" s="1">
        <v>147.1</v>
      </c>
      <c r="G92" s="1">
        <v>191.86</v>
      </c>
      <c r="H92" s="1">
        <v>174.76</v>
      </c>
      <c r="I92" s="1">
        <v>153.94</v>
      </c>
      <c r="J92" s="1">
        <v>143.36000000000001</v>
      </c>
      <c r="K92" s="1">
        <v>148.19999999999999</v>
      </c>
      <c r="L92" s="1">
        <v>232.72</v>
      </c>
      <c r="M92" s="1">
        <v>158.47999999999999</v>
      </c>
      <c r="N92" s="1">
        <v>115.86</v>
      </c>
      <c r="O92" s="1">
        <v>162.12</v>
      </c>
      <c r="P92" s="1">
        <v>146.94</v>
      </c>
      <c r="Q92" s="1">
        <v>164.26</v>
      </c>
      <c r="R92" s="1">
        <v>165.32</v>
      </c>
      <c r="S92" s="1">
        <v>186.16</v>
      </c>
      <c r="T92" s="1">
        <v>154.12</v>
      </c>
      <c r="U92" s="1">
        <v>144.11999999999998</v>
      </c>
      <c r="V92" s="1">
        <v>152.60000000000002</v>
      </c>
      <c r="W92" s="1">
        <v>158.13333333333333</v>
      </c>
      <c r="X92" s="1">
        <v>142.99999999999997</v>
      </c>
      <c r="Y92" s="1">
        <v>149.19999999999999</v>
      </c>
      <c r="Z92" s="1">
        <v>156.82</v>
      </c>
      <c r="AA92" s="1">
        <v>140.71999999999997</v>
      </c>
      <c r="AB92" s="1">
        <v>148.91999999999999</v>
      </c>
      <c r="AC92" s="1">
        <v>159.28</v>
      </c>
      <c r="AD92" s="1">
        <v>157.1</v>
      </c>
      <c r="AE92" s="1">
        <v>150.78</v>
      </c>
      <c r="AF92" s="1">
        <v>158.49999999999997</v>
      </c>
      <c r="AG92" s="1">
        <f t="shared" si="8"/>
        <v>2104.92</v>
      </c>
      <c r="AH92" s="1">
        <f t="shared" si="9"/>
        <v>186.16</v>
      </c>
      <c r="AI92" s="1">
        <f t="shared" si="10"/>
        <v>450.84000000000003</v>
      </c>
      <c r="AJ92" s="1">
        <f t="shared" si="11"/>
        <v>158.13333333333333</v>
      </c>
      <c r="AK92" s="1">
        <f t="shared" si="12"/>
        <v>142.99999999999997</v>
      </c>
      <c r="AL92" s="1">
        <f t="shared" si="13"/>
        <v>1062.82</v>
      </c>
    </row>
    <row r="93" spans="1:38" x14ac:dyDescent="0.3">
      <c r="A93" t="s">
        <v>30</v>
      </c>
      <c r="B93" s="1">
        <v>2020</v>
      </c>
      <c r="C93" t="s">
        <v>42</v>
      </c>
      <c r="D93" t="str">
        <f t="shared" si="7"/>
        <v>2020-November</v>
      </c>
      <c r="E93" s="1">
        <v>11</v>
      </c>
      <c r="F93" s="1">
        <v>147.22</v>
      </c>
      <c r="G93" s="1">
        <v>192.34</v>
      </c>
      <c r="H93" s="1">
        <v>175.5</v>
      </c>
      <c r="I93" s="1">
        <v>154</v>
      </c>
      <c r="J93" s="1">
        <v>143.6</v>
      </c>
      <c r="K93" s="1">
        <v>148.44</v>
      </c>
      <c r="L93" s="1">
        <v>234.38</v>
      </c>
      <c r="M93" s="1">
        <v>159.34</v>
      </c>
      <c r="N93" s="1">
        <v>115.94</v>
      </c>
      <c r="O93" s="1">
        <v>162.32</v>
      </c>
      <c r="P93" s="1">
        <v>146.78000000000003</v>
      </c>
      <c r="Q93" s="1">
        <v>164.68</v>
      </c>
      <c r="R93" s="1">
        <v>165.72</v>
      </c>
      <c r="S93" s="1">
        <v>186.56</v>
      </c>
      <c r="T93" s="1">
        <v>153.85999999999999</v>
      </c>
      <c r="U93" s="1">
        <v>142.99999999999997</v>
      </c>
      <c r="V93" s="1">
        <v>152.22</v>
      </c>
      <c r="W93" s="1">
        <v>158.19999999999999</v>
      </c>
      <c r="X93" s="1">
        <v>142.42000000000002</v>
      </c>
      <c r="Y93" s="1">
        <v>148.57999999999998</v>
      </c>
      <c r="Z93" s="1">
        <v>156.4</v>
      </c>
      <c r="AA93" s="1">
        <v>139.64000000000001</v>
      </c>
      <c r="AB93" s="1">
        <v>147.9</v>
      </c>
      <c r="AC93" s="1">
        <v>158.83999999999997</v>
      </c>
      <c r="AD93" s="1">
        <v>157.28</v>
      </c>
      <c r="AE93" s="1">
        <v>150.11999999999998</v>
      </c>
      <c r="AF93" s="1">
        <v>158.32</v>
      </c>
      <c r="AG93" s="1">
        <f t="shared" si="8"/>
        <v>2110.2599999999998</v>
      </c>
      <c r="AH93" s="1">
        <f t="shared" si="9"/>
        <v>186.56</v>
      </c>
      <c r="AI93" s="1">
        <f t="shared" si="10"/>
        <v>449.07999999999993</v>
      </c>
      <c r="AJ93" s="1">
        <f t="shared" si="11"/>
        <v>158.19999999999999</v>
      </c>
      <c r="AK93" s="1">
        <f t="shared" si="12"/>
        <v>142.42000000000002</v>
      </c>
      <c r="AL93" s="1">
        <f t="shared" si="13"/>
        <v>1058.7599999999998</v>
      </c>
    </row>
    <row r="94" spans="1:38" x14ac:dyDescent="0.3">
      <c r="A94" t="s">
        <v>31</v>
      </c>
      <c r="B94" s="1">
        <v>2020</v>
      </c>
      <c r="C94" t="s">
        <v>42</v>
      </c>
      <c r="D94" t="str">
        <f t="shared" si="7"/>
        <v>2020-November</v>
      </c>
      <c r="E94" s="1">
        <v>11</v>
      </c>
      <c r="F94" s="1">
        <v>145.96</v>
      </c>
      <c r="G94" s="1">
        <v>190.74</v>
      </c>
      <c r="H94" s="1">
        <v>174.8</v>
      </c>
      <c r="I94" s="1">
        <v>154.02000000000001</v>
      </c>
      <c r="J94" s="1">
        <v>146.96</v>
      </c>
      <c r="K94" s="1">
        <v>147.74</v>
      </c>
      <c r="L94" s="1">
        <v>222.88</v>
      </c>
      <c r="M94" s="1">
        <v>159.5</v>
      </c>
      <c r="N94" s="1">
        <v>115.26</v>
      </c>
      <c r="O94" s="1">
        <v>162.94</v>
      </c>
      <c r="P94" s="1">
        <v>149.69999999999999</v>
      </c>
      <c r="Q94" s="1">
        <v>164.51999999999998</v>
      </c>
      <c r="R94" s="1">
        <v>164.24</v>
      </c>
      <c r="S94" s="1">
        <v>185.71999999999997</v>
      </c>
      <c r="T94" s="1">
        <v>155.14000000000001</v>
      </c>
      <c r="U94" s="1">
        <v>146.19999999999999</v>
      </c>
      <c r="V94" s="1">
        <v>153.82000000000002</v>
      </c>
      <c r="W94" s="1">
        <v>158.26666666666665</v>
      </c>
      <c r="X94" s="1">
        <v>145.13999999999999</v>
      </c>
      <c r="Y94" s="1">
        <v>150.33999999999997</v>
      </c>
      <c r="Z94" s="1">
        <v>158.5</v>
      </c>
      <c r="AA94" s="1">
        <v>142.1</v>
      </c>
      <c r="AB94" s="1">
        <v>150.04000000000002</v>
      </c>
      <c r="AC94" s="1">
        <v>160.26</v>
      </c>
      <c r="AD94" s="1">
        <v>156.94</v>
      </c>
      <c r="AE94" s="1">
        <v>151.97999999999999</v>
      </c>
      <c r="AF94" s="1">
        <v>158.68</v>
      </c>
      <c r="AG94" s="1">
        <f t="shared" si="8"/>
        <v>2099.2600000000002</v>
      </c>
      <c r="AH94" s="1">
        <f t="shared" si="9"/>
        <v>185.71999999999997</v>
      </c>
      <c r="AI94" s="1">
        <f t="shared" si="10"/>
        <v>455.16000000000008</v>
      </c>
      <c r="AJ94" s="1">
        <f t="shared" si="11"/>
        <v>158.26666666666665</v>
      </c>
      <c r="AK94" s="1">
        <f t="shared" si="12"/>
        <v>145.13999999999999</v>
      </c>
      <c r="AL94" s="1">
        <f t="shared" si="13"/>
        <v>1070.1600000000001</v>
      </c>
    </row>
    <row r="95" spans="1:38" x14ac:dyDescent="0.3">
      <c r="A95" t="s">
        <v>28</v>
      </c>
      <c r="B95" s="1">
        <v>2020</v>
      </c>
      <c r="C95" t="s">
        <v>40</v>
      </c>
      <c r="D95" t="str">
        <f t="shared" si="7"/>
        <v>2020-October</v>
      </c>
      <c r="E95" s="1">
        <v>10</v>
      </c>
      <c r="F95" s="1">
        <v>147.84</v>
      </c>
      <c r="G95" s="1">
        <v>190.6</v>
      </c>
      <c r="H95" s="1">
        <v>166.78</v>
      </c>
      <c r="I95" s="1">
        <v>153.72</v>
      </c>
      <c r="J95" s="1">
        <v>140.36000000000001</v>
      </c>
      <c r="K95" s="1">
        <v>150.22</v>
      </c>
      <c r="L95" s="1">
        <v>220.66</v>
      </c>
      <c r="M95" s="1">
        <v>153.6</v>
      </c>
      <c r="N95" s="1">
        <v>116.34</v>
      </c>
      <c r="O95" s="1">
        <v>161.32</v>
      </c>
      <c r="P95" s="1">
        <v>144.42000000000002</v>
      </c>
      <c r="Q95" s="1">
        <v>163.54000000000002</v>
      </c>
      <c r="R95" s="1">
        <v>163.16</v>
      </c>
      <c r="S95" s="1">
        <v>185.58</v>
      </c>
      <c r="T95" s="1">
        <v>153.46</v>
      </c>
      <c r="U95" s="1">
        <v>143.73999999999998</v>
      </c>
      <c r="V95" s="1">
        <v>151.98000000000002</v>
      </c>
      <c r="W95" s="1">
        <v>157</v>
      </c>
      <c r="X95" s="1">
        <v>142.35999999999999</v>
      </c>
      <c r="Y95" s="1">
        <v>148.74</v>
      </c>
      <c r="Z95" s="1">
        <v>155.84</v>
      </c>
      <c r="AA95" s="1">
        <v>140.74</v>
      </c>
      <c r="AB95" s="1">
        <v>147.78</v>
      </c>
      <c r="AC95" s="1">
        <v>158.94</v>
      </c>
      <c r="AD95" s="1">
        <v>157.07999999999998</v>
      </c>
      <c r="AE95" s="1">
        <v>150.4</v>
      </c>
      <c r="AF95" s="1">
        <v>157.12000000000003</v>
      </c>
      <c r="AG95" s="1">
        <f t="shared" si="8"/>
        <v>2072.56</v>
      </c>
      <c r="AH95" s="1">
        <f t="shared" si="9"/>
        <v>185.58</v>
      </c>
      <c r="AI95" s="1">
        <f t="shared" si="10"/>
        <v>449.18</v>
      </c>
      <c r="AJ95" s="1">
        <f t="shared" si="11"/>
        <v>157</v>
      </c>
      <c r="AK95" s="1">
        <f t="shared" si="12"/>
        <v>142.35999999999999</v>
      </c>
      <c r="AL95" s="1">
        <f t="shared" si="13"/>
        <v>1059.52</v>
      </c>
    </row>
    <row r="96" spans="1:38" x14ac:dyDescent="0.3">
      <c r="A96" t="s">
        <v>30</v>
      </c>
      <c r="B96" s="1">
        <v>2020</v>
      </c>
      <c r="C96" t="s">
        <v>40</v>
      </c>
      <c r="D96" t="str">
        <f t="shared" si="7"/>
        <v>2020-October</v>
      </c>
      <c r="E96" s="1">
        <v>10</v>
      </c>
      <c r="F96" s="1">
        <v>148</v>
      </c>
      <c r="G96" s="1">
        <v>191.54</v>
      </c>
      <c r="H96" s="1">
        <v>169.66</v>
      </c>
      <c r="I96" s="1">
        <v>153.76</v>
      </c>
      <c r="J96" s="1">
        <v>140.38</v>
      </c>
      <c r="K96" s="1">
        <v>150.46</v>
      </c>
      <c r="L96" s="1">
        <v>226.54</v>
      </c>
      <c r="M96" s="1">
        <v>154.9</v>
      </c>
      <c r="N96" s="1">
        <v>116.42</v>
      </c>
      <c r="O96" s="1">
        <v>161.5</v>
      </c>
      <c r="P96" s="1">
        <v>144.24</v>
      </c>
      <c r="Q96" s="1">
        <v>163.92</v>
      </c>
      <c r="R96" s="1">
        <v>164.18</v>
      </c>
      <c r="S96" s="1">
        <v>186</v>
      </c>
      <c r="T96" s="1">
        <v>153.18</v>
      </c>
      <c r="U96" s="1">
        <v>142.6</v>
      </c>
      <c r="V96" s="1">
        <v>151.54000000000002</v>
      </c>
      <c r="W96" s="1">
        <v>157.25</v>
      </c>
      <c r="X96" s="1">
        <v>141.72</v>
      </c>
      <c r="Y96" s="1">
        <v>148.17999999999998</v>
      </c>
      <c r="Z96" s="1">
        <v>155.38000000000002</v>
      </c>
      <c r="AA96" s="1">
        <v>139.54</v>
      </c>
      <c r="AB96" s="1">
        <v>146.97999999999999</v>
      </c>
      <c r="AC96" s="1">
        <v>158.16</v>
      </c>
      <c r="AD96" s="1">
        <v>157.22</v>
      </c>
      <c r="AE96" s="1">
        <v>149.68</v>
      </c>
      <c r="AF96" s="1">
        <v>157.30000000000001</v>
      </c>
      <c r="AG96" s="1">
        <f t="shared" si="8"/>
        <v>2085.5</v>
      </c>
      <c r="AH96" s="1">
        <f t="shared" si="9"/>
        <v>186</v>
      </c>
      <c r="AI96" s="1">
        <f t="shared" si="10"/>
        <v>447.32</v>
      </c>
      <c r="AJ96" s="1">
        <f t="shared" si="11"/>
        <v>157.25</v>
      </c>
      <c r="AK96" s="1">
        <f t="shared" si="12"/>
        <v>141.72</v>
      </c>
      <c r="AL96" s="1">
        <f t="shared" si="13"/>
        <v>1055.1400000000001</v>
      </c>
    </row>
    <row r="97" spans="1:38" x14ac:dyDescent="0.3">
      <c r="A97" t="s">
        <v>31</v>
      </c>
      <c r="B97" s="1">
        <v>2020</v>
      </c>
      <c r="C97" t="s">
        <v>40</v>
      </c>
      <c r="D97" t="str">
        <f t="shared" si="7"/>
        <v>2020-October</v>
      </c>
      <c r="E97" s="1">
        <v>10</v>
      </c>
      <c r="F97" s="1">
        <v>146.80000000000001</v>
      </c>
      <c r="G97" s="1">
        <v>190.5</v>
      </c>
      <c r="H97" s="1">
        <v>171.38</v>
      </c>
      <c r="I97" s="1">
        <v>153.82</v>
      </c>
      <c r="J97" s="1">
        <v>143.24</v>
      </c>
      <c r="K97" s="1">
        <v>148.5</v>
      </c>
      <c r="L97" s="1">
        <v>226.38</v>
      </c>
      <c r="M97" s="1">
        <v>156.36000000000001</v>
      </c>
      <c r="N97" s="1">
        <v>115.68</v>
      </c>
      <c r="O97" s="1">
        <v>161.94</v>
      </c>
      <c r="P97" s="1">
        <v>147.07999999999998</v>
      </c>
      <c r="Q97" s="1">
        <v>163.68</v>
      </c>
      <c r="R97" s="1">
        <v>164.2</v>
      </c>
      <c r="S97" s="1">
        <v>184.98</v>
      </c>
      <c r="T97" s="1">
        <v>154.48000000000002</v>
      </c>
      <c r="U97" s="1">
        <v>145.69999999999999</v>
      </c>
      <c r="V97" s="1">
        <v>153.14000000000001</v>
      </c>
      <c r="W97" s="1">
        <v>157.5</v>
      </c>
      <c r="X97" s="1">
        <v>144.04000000000002</v>
      </c>
      <c r="Y97" s="1">
        <v>149.83999999999997</v>
      </c>
      <c r="Z97" s="1">
        <v>157.50000000000003</v>
      </c>
      <c r="AA97" s="1">
        <v>141.73999999999998</v>
      </c>
      <c r="AB97" s="1">
        <v>149.35999999999999</v>
      </c>
      <c r="AC97" s="1">
        <v>159.6</v>
      </c>
      <c r="AD97" s="1">
        <v>156.92000000000002</v>
      </c>
      <c r="AE97" s="1">
        <v>151.48000000000002</v>
      </c>
      <c r="AF97" s="1">
        <v>158.4</v>
      </c>
      <c r="AG97" s="1">
        <f t="shared" si="8"/>
        <v>2089.56</v>
      </c>
      <c r="AH97" s="1">
        <f t="shared" si="9"/>
        <v>184.98</v>
      </c>
      <c r="AI97" s="1">
        <f t="shared" si="10"/>
        <v>453.32000000000005</v>
      </c>
      <c r="AJ97" s="1">
        <f t="shared" si="11"/>
        <v>157.5</v>
      </c>
      <c r="AK97" s="1">
        <f t="shared" si="12"/>
        <v>144.04000000000002</v>
      </c>
      <c r="AL97" s="1">
        <f t="shared" si="13"/>
        <v>1066.44</v>
      </c>
    </row>
    <row r="98" spans="1:38" x14ac:dyDescent="0.3">
      <c r="A98" t="s">
        <v>28</v>
      </c>
      <c r="B98" s="1">
        <v>2020</v>
      </c>
      <c r="C98" t="s">
        <v>39</v>
      </c>
      <c r="D98" t="str">
        <f t="shared" si="7"/>
        <v>2020-September</v>
      </c>
      <c r="E98" s="1">
        <v>9</v>
      </c>
      <c r="F98" s="1">
        <v>148.68</v>
      </c>
      <c r="G98" s="1">
        <v>188.82</v>
      </c>
      <c r="H98" s="1">
        <v>156.66</v>
      </c>
      <c r="I98" s="1">
        <v>153.63999999999999</v>
      </c>
      <c r="J98" s="1">
        <v>138.26</v>
      </c>
      <c r="K98" s="1">
        <v>151.24</v>
      </c>
      <c r="L98" s="1">
        <v>198.82</v>
      </c>
      <c r="M98" s="1">
        <v>150.47999999999999</v>
      </c>
      <c r="N98" s="1">
        <v>116.76</v>
      </c>
      <c r="O98" s="1">
        <v>160.68</v>
      </c>
      <c r="P98" s="1">
        <v>142.38000000000002</v>
      </c>
      <c r="Q98" s="1">
        <v>163.11999999999998</v>
      </c>
      <c r="R98" s="1">
        <v>159.88</v>
      </c>
      <c r="S98" s="1">
        <v>185.48000000000002</v>
      </c>
      <c r="T98" s="1">
        <v>153.04000000000002</v>
      </c>
      <c r="U98" s="1">
        <v>143.44</v>
      </c>
      <c r="V98" s="1">
        <v>151.6</v>
      </c>
      <c r="W98" s="1">
        <v>156.36666666666667</v>
      </c>
      <c r="X98" s="1">
        <v>142.07999999999998</v>
      </c>
      <c r="Y98" s="1">
        <v>148.56</v>
      </c>
      <c r="Z98" s="1">
        <v>155.04000000000002</v>
      </c>
      <c r="AA98" s="1">
        <v>140.21999999999997</v>
      </c>
      <c r="AB98" s="1">
        <v>147.12</v>
      </c>
      <c r="AC98" s="1">
        <v>158.34</v>
      </c>
      <c r="AD98" s="1">
        <v>157.97999999999999</v>
      </c>
      <c r="AE98" s="1">
        <v>150.04000000000002</v>
      </c>
      <c r="AF98" s="1">
        <v>155.35999999999999</v>
      </c>
      <c r="AG98" s="1">
        <f t="shared" si="8"/>
        <v>2029.42</v>
      </c>
      <c r="AH98" s="1">
        <f t="shared" si="9"/>
        <v>185.48000000000002</v>
      </c>
      <c r="AI98" s="1">
        <f t="shared" si="10"/>
        <v>448.08000000000004</v>
      </c>
      <c r="AJ98" s="1">
        <f t="shared" si="11"/>
        <v>156.36666666666667</v>
      </c>
      <c r="AK98" s="1">
        <f t="shared" si="12"/>
        <v>142.07999999999998</v>
      </c>
      <c r="AL98" s="1">
        <f t="shared" si="13"/>
        <v>1057.3000000000002</v>
      </c>
    </row>
    <row r="99" spans="1:38" x14ac:dyDescent="0.3">
      <c r="A99" t="s">
        <v>30</v>
      </c>
      <c r="B99" s="1">
        <v>2020</v>
      </c>
      <c r="C99" t="s">
        <v>39</v>
      </c>
      <c r="D99" t="str">
        <f t="shared" si="7"/>
        <v>2020-September</v>
      </c>
      <c r="E99" s="1">
        <v>9</v>
      </c>
      <c r="F99" s="1">
        <v>148.80000000000001</v>
      </c>
      <c r="G99" s="1">
        <v>189.82</v>
      </c>
      <c r="H99" s="1">
        <v>159.04</v>
      </c>
      <c r="I99" s="1">
        <v>153.68</v>
      </c>
      <c r="J99" s="1">
        <v>138.19999999999999</v>
      </c>
      <c r="K99" s="1">
        <v>152.08000000000001</v>
      </c>
      <c r="L99" s="1">
        <v>204.9</v>
      </c>
      <c r="M99" s="1">
        <v>150.80000000000001</v>
      </c>
      <c r="N99" s="1">
        <v>116.98</v>
      </c>
      <c r="O99" s="1">
        <v>160.88000000000002</v>
      </c>
      <c r="P99" s="1">
        <v>142.1</v>
      </c>
      <c r="Q99" s="1">
        <v>163.44</v>
      </c>
      <c r="R99" s="1">
        <v>160.94</v>
      </c>
      <c r="S99" s="1">
        <v>185.76</v>
      </c>
      <c r="T99" s="1">
        <v>152.69999999999999</v>
      </c>
      <c r="U99" s="1">
        <v>142.38000000000002</v>
      </c>
      <c r="V99" s="1">
        <v>151.14000000000001</v>
      </c>
      <c r="W99" s="1">
        <v>156.4</v>
      </c>
      <c r="X99" s="1">
        <v>141.42000000000002</v>
      </c>
      <c r="Y99" s="1">
        <v>147.98000000000002</v>
      </c>
      <c r="Z99" s="1">
        <v>154.48000000000002</v>
      </c>
      <c r="AA99" s="1">
        <v>139.42000000000002</v>
      </c>
      <c r="AB99" s="1">
        <v>145.85999999999999</v>
      </c>
      <c r="AC99" s="1">
        <v>157.82</v>
      </c>
      <c r="AD99" s="1">
        <v>157.9</v>
      </c>
      <c r="AE99" s="1">
        <v>149.38</v>
      </c>
      <c r="AF99" s="1">
        <v>155.56</v>
      </c>
      <c r="AG99" s="1">
        <f t="shared" si="8"/>
        <v>2041.66</v>
      </c>
      <c r="AH99" s="1">
        <f t="shared" si="9"/>
        <v>185.76</v>
      </c>
      <c r="AI99" s="1">
        <f t="shared" si="10"/>
        <v>446.22</v>
      </c>
      <c r="AJ99" s="1">
        <f t="shared" si="11"/>
        <v>156.4</v>
      </c>
      <c r="AK99" s="1">
        <f t="shared" si="12"/>
        <v>141.42000000000002</v>
      </c>
      <c r="AL99" s="1">
        <f t="shared" si="13"/>
        <v>1052.8399999999999</v>
      </c>
    </row>
    <row r="100" spans="1:38" x14ac:dyDescent="0.3">
      <c r="A100" t="s">
        <v>31</v>
      </c>
      <c r="B100" s="1">
        <v>2020</v>
      </c>
      <c r="C100" t="s">
        <v>39</v>
      </c>
      <c r="D100" t="str">
        <f t="shared" si="7"/>
        <v>2020-September</v>
      </c>
      <c r="E100" s="1">
        <v>9</v>
      </c>
      <c r="F100" s="1">
        <v>147.58000000000001</v>
      </c>
      <c r="G100" s="1">
        <v>188.92</v>
      </c>
      <c r="H100" s="1">
        <v>161.9</v>
      </c>
      <c r="I100" s="1">
        <v>153.66</v>
      </c>
      <c r="J100" s="1">
        <v>140.4</v>
      </c>
      <c r="K100" s="1">
        <v>150.30000000000001</v>
      </c>
      <c r="L100" s="1">
        <v>208.94</v>
      </c>
      <c r="M100" s="1">
        <v>151.82</v>
      </c>
      <c r="N100" s="1">
        <v>116.18</v>
      </c>
      <c r="O100" s="1">
        <v>161.1</v>
      </c>
      <c r="P100" s="1">
        <v>144.56</v>
      </c>
      <c r="Q100" s="1">
        <v>163.1</v>
      </c>
      <c r="R100" s="1">
        <v>161.35999999999999</v>
      </c>
      <c r="S100" s="1">
        <v>184.7</v>
      </c>
      <c r="T100" s="1">
        <v>153.91999999999999</v>
      </c>
      <c r="U100" s="1">
        <v>145.32</v>
      </c>
      <c r="V100" s="1">
        <v>152.62</v>
      </c>
      <c r="W100" s="1">
        <v>156.43333333333334</v>
      </c>
      <c r="X100" s="1">
        <v>143.48000000000002</v>
      </c>
      <c r="Y100" s="1">
        <v>149.45999999999998</v>
      </c>
      <c r="Z100" s="1">
        <v>156.56</v>
      </c>
      <c r="AA100" s="1">
        <v>141.62</v>
      </c>
      <c r="AB100" s="1">
        <v>148.22</v>
      </c>
      <c r="AC100" s="1">
        <v>159.16000000000003</v>
      </c>
      <c r="AD100" s="1">
        <v>157.18</v>
      </c>
      <c r="AE100" s="1">
        <v>151.07999999999998</v>
      </c>
      <c r="AF100" s="1">
        <v>156.71999999999997</v>
      </c>
      <c r="AG100" s="1">
        <f t="shared" si="8"/>
        <v>2049.8199999999997</v>
      </c>
      <c r="AH100" s="1">
        <f t="shared" si="9"/>
        <v>184.7</v>
      </c>
      <c r="AI100" s="1">
        <f t="shared" si="10"/>
        <v>451.86</v>
      </c>
      <c r="AJ100" s="1">
        <f t="shared" si="11"/>
        <v>156.43333333333334</v>
      </c>
      <c r="AK100" s="1">
        <f t="shared" si="12"/>
        <v>143.48000000000002</v>
      </c>
      <c r="AL100" s="1">
        <f t="shared" si="13"/>
        <v>1063.28</v>
      </c>
    </row>
    <row r="101" spans="1:38" x14ac:dyDescent="0.3">
      <c r="A101" t="s">
        <v>28</v>
      </c>
      <c r="B101" s="1">
        <v>2020</v>
      </c>
      <c r="C101" t="s">
        <v>38</v>
      </c>
      <c r="D101" t="str">
        <f t="shared" si="7"/>
        <v>2020-August</v>
      </c>
      <c r="E101" s="1">
        <v>8</v>
      </c>
      <c r="F101" s="1">
        <v>149.30000000000001</v>
      </c>
      <c r="G101" s="1">
        <v>190.58</v>
      </c>
      <c r="H101" s="1">
        <v>152.1</v>
      </c>
      <c r="I101" s="1">
        <v>153.46</v>
      </c>
      <c r="J101" s="1">
        <v>137.08000000000001</v>
      </c>
      <c r="K101" s="1">
        <v>150.84</v>
      </c>
      <c r="L101" s="1">
        <v>184.36</v>
      </c>
      <c r="M101" s="1">
        <v>150.34</v>
      </c>
      <c r="N101" s="1">
        <v>116.02</v>
      </c>
      <c r="O101" s="1">
        <v>160.18</v>
      </c>
      <c r="P101" s="1">
        <v>140.74</v>
      </c>
      <c r="Q101" s="1">
        <v>162.62</v>
      </c>
      <c r="R101" s="1">
        <v>157.92000000000002</v>
      </c>
      <c r="S101" s="1">
        <v>184.45999999999998</v>
      </c>
      <c r="T101" s="1">
        <v>152.76</v>
      </c>
      <c r="U101" s="1">
        <v>142.82</v>
      </c>
      <c r="V101" s="1">
        <v>151.30000000000001</v>
      </c>
      <c r="W101" s="1">
        <v>155.76666666666668</v>
      </c>
      <c r="X101" s="1">
        <v>142.14000000000001</v>
      </c>
      <c r="Y101" s="1">
        <v>148.35999999999999</v>
      </c>
      <c r="Z101" s="1">
        <v>154.32</v>
      </c>
      <c r="AA101" s="1">
        <v>139.14000000000001</v>
      </c>
      <c r="AB101" s="1">
        <v>146.80000000000001</v>
      </c>
      <c r="AC101" s="1">
        <v>158.54</v>
      </c>
      <c r="AD101" s="1">
        <v>156.06</v>
      </c>
      <c r="AE101" s="1">
        <v>149.30000000000001</v>
      </c>
      <c r="AF101" s="1">
        <v>154.18</v>
      </c>
      <c r="AG101" s="1">
        <f t="shared" si="8"/>
        <v>2005.5400000000004</v>
      </c>
      <c r="AH101" s="1">
        <f t="shared" si="9"/>
        <v>184.45999999999998</v>
      </c>
      <c r="AI101" s="1">
        <f t="shared" si="10"/>
        <v>446.88</v>
      </c>
      <c r="AJ101" s="1">
        <f t="shared" si="11"/>
        <v>155.76666666666668</v>
      </c>
      <c r="AK101" s="1">
        <f t="shared" si="12"/>
        <v>142.14000000000001</v>
      </c>
      <c r="AL101" s="1">
        <f t="shared" si="13"/>
        <v>1052.5199999999998</v>
      </c>
    </row>
    <row r="102" spans="1:38" x14ac:dyDescent="0.3">
      <c r="A102" t="s">
        <v>30</v>
      </c>
      <c r="B102" s="1">
        <v>2020</v>
      </c>
      <c r="C102" t="s">
        <v>38</v>
      </c>
      <c r="D102" t="str">
        <f t="shared" si="7"/>
        <v>2020-August</v>
      </c>
      <c r="E102" s="1">
        <v>8</v>
      </c>
      <c r="F102" s="1">
        <v>149.46</v>
      </c>
      <c r="G102" s="1">
        <v>190.56</v>
      </c>
      <c r="H102" s="1">
        <v>152.91999999999999</v>
      </c>
      <c r="I102" s="1">
        <v>153.52000000000001</v>
      </c>
      <c r="J102" s="1">
        <v>136.76</v>
      </c>
      <c r="K102" s="1">
        <v>151.63999999999999</v>
      </c>
      <c r="L102" s="1">
        <v>187.5</v>
      </c>
      <c r="M102" s="1">
        <v>150.32</v>
      </c>
      <c r="N102" s="1">
        <v>116.46</v>
      </c>
      <c r="O102" s="1">
        <v>160.24</v>
      </c>
      <c r="P102" s="1">
        <v>140.48000000000002</v>
      </c>
      <c r="Q102" s="1">
        <v>162.9</v>
      </c>
      <c r="R102" s="1">
        <v>158.45999999999998</v>
      </c>
      <c r="S102" s="1">
        <v>185.15999999999997</v>
      </c>
      <c r="T102" s="1">
        <v>152.42000000000002</v>
      </c>
      <c r="U102" s="1">
        <v>141.82</v>
      </c>
      <c r="V102" s="1">
        <v>150.84</v>
      </c>
      <c r="W102" s="1">
        <v>155.9</v>
      </c>
      <c r="X102" s="1">
        <v>141.56</v>
      </c>
      <c r="Y102" s="1">
        <v>147.71999999999997</v>
      </c>
      <c r="Z102" s="1">
        <v>153.68</v>
      </c>
      <c r="AA102" s="1">
        <v>138.34</v>
      </c>
      <c r="AB102" s="1">
        <v>145.68</v>
      </c>
      <c r="AC102" s="1">
        <v>157.5</v>
      </c>
      <c r="AD102" s="1">
        <v>157.02000000000001</v>
      </c>
      <c r="AE102" s="1">
        <v>148.69999999999999</v>
      </c>
      <c r="AF102" s="1">
        <v>154.18</v>
      </c>
      <c r="AG102" s="1">
        <f t="shared" si="8"/>
        <v>2011.22</v>
      </c>
      <c r="AH102" s="1">
        <f t="shared" si="9"/>
        <v>185.15999999999997</v>
      </c>
      <c r="AI102" s="1">
        <f t="shared" si="10"/>
        <v>445.08000000000004</v>
      </c>
      <c r="AJ102" s="1">
        <f t="shared" si="11"/>
        <v>155.9</v>
      </c>
      <c r="AK102" s="1">
        <f t="shared" si="12"/>
        <v>141.56</v>
      </c>
      <c r="AL102" s="1">
        <f t="shared" si="13"/>
        <v>1048.6400000000001</v>
      </c>
    </row>
    <row r="103" spans="1:38" x14ac:dyDescent="0.3">
      <c r="A103" t="s">
        <v>31</v>
      </c>
      <c r="B103" s="1">
        <v>2020</v>
      </c>
      <c r="C103" t="s">
        <v>38</v>
      </c>
      <c r="D103" t="str">
        <f t="shared" si="7"/>
        <v>2020-August</v>
      </c>
      <c r="E103" s="1">
        <v>8</v>
      </c>
      <c r="F103" s="1">
        <v>148.34</v>
      </c>
      <c r="G103" s="1">
        <v>188.26</v>
      </c>
      <c r="H103" s="1">
        <v>153.86000000000001</v>
      </c>
      <c r="I103" s="1">
        <v>153.56</v>
      </c>
      <c r="J103" s="1">
        <v>138.6</v>
      </c>
      <c r="K103" s="1">
        <v>150.18</v>
      </c>
      <c r="L103" s="1">
        <v>189.24</v>
      </c>
      <c r="M103" s="1">
        <v>150.12</v>
      </c>
      <c r="N103" s="1">
        <v>116.16</v>
      </c>
      <c r="O103" s="1">
        <v>160.42000000000002</v>
      </c>
      <c r="P103" s="1">
        <v>142.66</v>
      </c>
      <c r="Q103" s="1">
        <v>162.61999999999998</v>
      </c>
      <c r="R103" s="1">
        <v>158.40000000000003</v>
      </c>
      <c r="S103" s="1">
        <v>184.26</v>
      </c>
      <c r="T103" s="1">
        <v>153.56</v>
      </c>
      <c r="U103" s="1">
        <v>144.90000000000003</v>
      </c>
      <c r="V103" s="1">
        <v>152.28</v>
      </c>
      <c r="W103" s="1">
        <v>156.03333333333333</v>
      </c>
      <c r="X103" s="1">
        <v>143.26</v>
      </c>
      <c r="Y103" s="1">
        <v>149.21999999999997</v>
      </c>
      <c r="Z103" s="1">
        <v>155.84</v>
      </c>
      <c r="AA103" s="1">
        <v>140.84</v>
      </c>
      <c r="AB103" s="1">
        <v>147.92000000000002</v>
      </c>
      <c r="AC103" s="1">
        <v>158.9</v>
      </c>
      <c r="AD103" s="1">
        <v>157.22000000000003</v>
      </c>
      <c r="AE103" s="1">
        <v>150.6</v>
      </c>
      <c r="AF103" s="1">
        <v>155.1</v>
      </c>
      <c r="AG103" s="1">
        <f t="shared" si="8"/>
        <v>2012.42</v>
      </c>
      <c r="AH103" s="1">
        <f t="shared" si="9"/>
        <v>184.26</v>
      </c>
      <c r="AI103" s="1">
        <f t="shared" si="10"/>
        <v>450.74</v>
      </c>
      <c r="AJ103" s="1">
        <f t="shared" si="11"/>
        <v>156.03333333333333</v>
      </c>
      <c r="AK103" s="1">
        <f t="shared" si="12"/>
        <v>143.26</v>
      </c>
      <c r="AL103" s="1">
        <f t="shared" si="13"/>
        <v>1060.54</v>
      </c>
    </row>
    <row r="104" spans="1:38" x14ac:dyDescent="0.3">
      <c r="A104" t="s">
        <v>28</v>
      </c>
      <c r="B104" s="1">
        <v>2020</v>
      </c>
      <c r="C104" t="s">
        <v>37</v>
      </c>
      <c r="D104" t="str">
        <f t="shared" si="7"/>
        <v>2020-July</v>
      </c>
      <c r="E104" s="1">
        <v>7</v>
      </c>
      <c r="F104" s="1">
        <v>149.94</v>
      </c>
      <c r="G104" s="1">
        <v>193</v>
      </c>
      <c r="H104" s="1">
        <v>151.66</v>
      </c>
      <c r="I104" s="1">
        <v>153.34</v>
      </c>
      <c r="J104" s="1">
        <v>136.12</v>
      </c>
      <c r="K104" s="1">
        <v>148.72</v>
      </c>
      <c r="L104" s="1">
        <v>167.9</v>
      </c>
      <c r="M104" s="1">
        <v>150.88</v>
      </c>
      <c r="N104" s="1">
        <v>114.94</v>
      </c>
      <c r="O104" s="1">
        <v>159.62</v>
      </c>
      <c r="P104" s="1">
        <v>139.42000000000002</v>
      </c>
      <c r="Q104" s="1">
        <v>162.01999999999998</v>
      </c>
      <c r="R104" s="1">
        <v>155.69999999999999</v>
      </c>
      <c r="S104" s="1">
        <v>184.14000000000001</v>
      </c>
      <c r="T104" s="1">
        <v>152.28</v>
      </c>
      <c r="U104" s="1">
        <v>143.1</v>
      </c>
      <c r="V104" s="1">
        <v>150.95999999999998</v>
      </c>
      <c r="W104" s="1">
        <v>154.96666666666667</v>
      </c>
      <c r="X104" s="1">
        <v>141.6</v>
      </c>
      <c r="Y104" s="1">
        <v>146.97999999999999</v>
      </c>
      <c r="Z104" s="1">
        <v>153.64000000000001</v>
      </c>
      <c r="AA104" s="1">
        <v>136.64000000000001</v>
      </c>
      <c r="AB104" s="1">
        <v>147.88000000000002</v>
      </c>
      <c r="AC104" s="1">
        <v>157.78000000000003</v>
      </c>
      <c r="AD104" s="1">
        <v>152.76</v>
      </c>
      <c r="AE104" s="1">
        <v>147.69999999999999</v>
      </c>
      <c r="AF104" s="1">
        <v>152.57999999999998</v>
      </c>
      <c r="AG104" s="1">
        <f t="shared" si="8"/>
        <v>1983.26</v>
      </c>
      <c r="AH104" s="1">
        <f t="shared" si="9"/>
        <v>184.14000000000001</v>
      </c>
      <c r="AI104" s="1">
        <f t="shared" si="10"/>
        <v>446.34</v>
      </c>
      <c r="AJ104" s="1">
        <f t="shared" si="11"/>
        <v>154.96666666666667</v>
      </c>
      <c r="AK104" s="1">
        <f t="shared" si="12"/>
        <v>141.6</v>
      </c>
      <c r="AL104" s="1">
        <f t="shared" si="13"/>
        <v>1043.3800000000001</v>
      </c>
    </row>
    <row r="105" spans="1:38" x14ac:dyDescent="0.3">
      <c r="A105" t="s">
        <v>30</v>
      </c>
      <c r="B105" s="1">
        <v>2020</v>
      </c>
      <c r="C105" t="s">
        <v>37</v>
      </c>
      <c r="D105" t="str">
        <f t="shared" si="7"/>
        <v>2020-July</v>
      </c>
      <c r="E105" s="1">
        <v>7</v>
      </c>
      <c r="F105" s="1">
        <v>150.08000000000001</v>
      </c>
      <c r="G105" s="1">
        <v>193.12</v>
      </c>
      <c r="H105" s="1">
        <v>151.94</v>
      </c>
      <c r="I105" s="1">
        <v>153.34</v>
      </c>
      <c r="J105" s="1">
        <v>135.96</v>
      </c>
      <c r="K105" s="1">
        <v>150.16</v>
      </c>
      <c r="L105" s="1">
        <v>173.74</v>
      </c>
      <c r="M105" s="1">
        <v>150.9</v>
      </c>
      <c r="N105" s="1">
        <v>115.32</v>
      </c>
      <c r="O105" s="1">
        <v>159.66</v>
      </c>
      <c r="P105" s="1">
        <v>139.12</v>
      </c>
      <c r="Q105" s="1">
        <v>162.11999999999998</v>
      </c>
      <c r="R105" s="1">
        <v>156.64000000000001</v>
      </c>
      <c r="S105" s="1">
        <v>184.18</v>
      </c>
      <c r="T105" s="1">
        <v>151.96</v>
      </c>
      <c r="U105" s="1">
        <v>141.78</v>
      </c>
      <c r="V105" s="1">
        <v>150.48000000000002</v>
      </c>
      <c r="W105" s="1">
        <v>155.1</v>
      </c>
      <c r="X105" s="1">
        <v>141.22</v>
      </c>
      <c r="Y105" s="1">
        <v>146.32</v>
      </c>
      <c r="Z105" s="1">
        <v>153</v>
      </c>
      <c r="AA105" s="1">
        <v>136.06</v>
      </c>
      <c r="AB105" s="1">
        <v>146.44</v>
      </c>
      <c r="AC105" s="1">
        <v>157.11999999999998</v>
      </c>
      <c r="AD105" s="1">
        <v>153.37999999999997</v>
      </c>
      <c r="AE105" s="1">
        <v>147.16</v>
      </c>
      <c r="AF105" s="1">
        <v>152.82</v>
      </c>
      <c r="AG105" s="1">
        <f t="shared" si="8"/>
        <v>1992.1000000000001</v>
      </c>
      <c r="AH105" s="1">
        <f t="shared" si="9"/>
        <v>184.18</v>
      </c>
      <c r="AI105" s="1">
        <f t="shared" si="10"/>
        <v>444.22</v>
      </c>
      <c r="AJ105" s="1">
        <f t="shared" si="11"/>
        <v>155.1</v>
      </c>
      <c r="AK105" s="1">
        <f t="shared" si="12"/>
        <v>141.22</v>
      </c>
      <c r="AL105" s="1">
        <f t="shared" si="13"/>
        <v>1039.48</v>
      </c>
    </row>
    <row r="106" spans="1:38" x14ac:dyDescent="0.3">
      <c r="A106" t="s">
        <v>31</v>
      </c>
      <c r="B106" s="1">
        <v>2020</v>
      </c>
      <c r="C106" t="s">
        <v>37</v>
      </c>
      <c r="D106" t="str">
        <f t="shared" si="7"/>
        <v>2020-July</v>
      </c>
      <c r="E106" s="1">
        <v>7</v>
      </c>
      <c r="F106" s="1">
        <v>148.91999999999999</v>
      </c>
      <c r="G106" s="1">
        <v>190.5</v>
      </c>
      <c r="H106" s="1">
        <v>150.91999999999999</v>
      </c>
      <c r="I106" s="1">
        <v>153.34</v>
      </c>
      <c r="J106" s="1">
        <v>137.46</v>
      </c>
      <c r="K106" s="1">
        <v>149.19999999999999</v>
      </c>
      <c r="L106" s="1">
        <v>175.26</v>
      </c>
      <c r="M106" s="1">
        <v>150.36000000000001</v>
      </c>
      <c r="N106" s="1">
        <v>115.08</v>
      </c>
      <c r="O106" s="1">
        <v>159.9</v>
      </c>
      <c r="P106" s="1">
        <v>141.07999999999998</v>
      </c>
      <c r="Q106" s="1">
        <v>162.10000000000002</v>
      </c>
      <c r="R106" s="1">
        <v>156.46</v>
      </c>
      <c r="S106" s="1">
        <v>183.42</v>
      </c>
      <c r="T106" s="1">
        <v>153.22</v>
      </c>
      <c r="U106" s="1">
        <v>144.44</v>
      </c>
      <c r="V106" s="1">
        <v>151.96</v>
      </c>
      <c r="W106" s="1">
        <v>155.23333333333332</v>
      </c>
      <c r="X106" s="1">
        <v>143.07999999999998</v>
      </c>
      <c r="Y106" s="1">
        <v>148.56</v>
      </c>
      <c r="Z106" s="1">
        <v>155.20000000000002</v>
      </c>
      <c r="AA106" s="1">
        <v>139.12</v>
      </c>
      <c r="AB106" s="1">
        <v>148.1</v>
      </c>
      <c r="AC106" s="1">
        <v>158.84</v>
      </c>
      <c r="AD106" s="1">
        <v>154.42000000000002</v>
      </c>
      <c r="AE106" s="1">
        <v>149.5</v>
      </c>
      <c r="AF106" s="1">
        <v>153.73999999999998</v>
      </c>
      <c r="AG106" s="1">
        <f t="shared" si="8"/>
        <v>1990.58</v>
      </c>
      <c r="AH106" s="1">
        <f t="shared" si="9"/>
        <v>183.42</v>
      </c>
      <c r="AI106" s="1">
        <f t="shared" si="10"/>
        <v>449.62</v>
      </c>
      <c r="AJ106" s="1">
        <f t="shared" si="11"/>
        <v>155.23333333333332</v>
      </c>
      <c r="AK106" s="1">
        <f t="shared" si="12"/>
        <v>143.07999999999998</v>
      </c>
      <c r="AL106" s="1">
        <f t="shared" si="13"/>
        <v>1053.74</v>
      </c>
    </row>
    <row r="107" spans="1:38" x14ac:dyDescent="0.3">
      <c r="A107" t="s">
        <v>28</v>
      </c>
      <c r="B107" s="1">
        <v>2020</v>
      </c>
      <c r="C107" t="s">
        <v>36</v>
      </c>
      <c r="D107" t="str">
        <f t="shared" si="7"/>
        <v>2020-June</v>
      </c>
      <c r="E107" s="1">
        <v>6</v>
      </c>
      <c r="F107" s="1">
        <v>150.28</v>
      </c>
      <c r="G107" s="1">
        <v>193.46</v>
      </c>
      <c r="H107" s="1">
        <v>151.88</v>
      </c>
      <c r="I107" s="1">
        <v>153.34</v>
      </c>
      <c r="J107" s="1">
        <v>135.69999999999999</v>
      </c>
      <c r="K107" s="1">
        <v>147.44</v>
      </c>
      <c r="L107" s="1">
        <v>159.34</v>
      </c>
      <c r="M107" s="1">
        <v>151.1</v>
      </c>
      <c r="N107" s="1">
        <v>114.64</v>
      </c>
      <c r="O107" s="1">
        <v>159.34</v>
      </c>
      <c r="P107" s="1">
        <v>138.96</v>
      </c>
      <c r="Q107" s="1">
        <v>161.76</v>
      </c>
      <c r="R107" s="1">
        <v>154.52000000000001</v>
      </c>
      <c r="S107" s="1">
        <v>184.34</v>
      </c>
      <c r="T107" s="1">
        <v>152.02000000000001</v>
      </c>
      <c r="U107" s="1">
        <v>143.52000000000001</v>
      </c>
      <c r="V107" s="1">
        <v>150.80000000000001</v>
      </c>
      <c r="W107" s="1">
        <v>154.69999999999999</v>
      </c>
      <c r="X107" s="1">
        <v>141.18</v>
      </c>
      <c r="Y107" s="1">
        <v>146.12</v>
      </c>
      <c r="Z107" s="1">
        <v>153.39999999999998</v>
      </c>
      <c r="AA107" s="1">
        <v>135.28000000000003</v>
      </c>
      <c r="AB107" s="1">
        <v>148.74</v>
      </c>
      <c r="AC107" s="1">
        <v>157</v>
      </c>
      <c r="AD107" s="1">
        <v>151.68</v>
      </c>
      <c r="AE107" s="1">
        <v>146.88</v>
      </c>
      <c r="AF107" s="1">
        <v>151.76</v>
      </c>
      <c r="AG107" s="1">
        <f t="shared" si="8"/>
        <v>1971.76</v>
      </c>
      <c r="AH107" s="1">
        <f t="shared" si="9"/>
        <v>184.34</v>
      </c>
      <c r="AI107" s="1">
        <f t="shared" si="10"/>
        <v>446.34000000000003</v>
      </c>
      <c r="AJ107" s="1">
        <f t="shared" si="11"/>
        <v>154.69999999999999</v>
      </c>
      <c r="AK107" s="1">
        <f t="shared" si="12"/>
        <v>141.18</v>
      </c>
      <c r="AL107" s="1">
        <f t="shared" si="13"/>
        <v>1039.0999999999999</v>
      </c>
    </row>
    <row r="108" spans="1:38" x14ac:dyDescent="0.3">
      <c r="A108" t="s">
        <v>30</v>
      </c>
      <c r="B108" s="1">
        <v>2020</v>
      </c>
      <c r="C108" t="s">
        <v>36</v>
      </c>
      <c r="D108" t="str">
        <f t="shared" si="7"/>
        <v>2020-June</v>
      </c>
      <c r="E108" s="1">
        <v>6</v>
      </c>
      <c r="F108" s="1">
        <v>150.56</v>
      </c>
      <c r="G108" s="1">
        <v>193.94</v>
      </c>
      <c r="H108" s="1">
        <v>152.28</v>
      </c>
      <c r="I108" s="1">
        <v>153.34</v>
      </c>
      <c r="J108" s="1">
        <v>135.32</v>
      </c>
      <c r="K108" s="1">
        <v>148.24</v>
      </c>
      <c r="L108" s="1">
        <v>160.86000000000001</v>
      </c>
      <c r="M108" s="1">
        <v>151.22</v>
      </c>
      <c r="N108" s="1">
        <v>114.84</v>
      </c>
      <c r="O108" s="1">
        <v>159.28000000000003</v>
      </c>
      <c r="P108" s="1">
        <v>138.42000000000002</v>
      </c>
      <c r="Q108" s="1">
        <v>161.76</v>
      </c>
      <c r="R108" s="1">
        <v>154.85999999999999</v>
      </c>
      <c r="S108" s="1">
        <v>184.56</v>
      </c>
      <c r="T108" s="1">
        <v>151.57999999999998</v>
      </c>
      <c r="U108" s="1">
        <v>142.4</v>
      </c>
      <c r="V108" s="1">
        <v>150.26000000000002</v>
      </c>
      <c r="W108" s="1">
        <v>154.69999999999999</v>
      </c>
      <c r="X108" s="1">
        <v>140.57999999999998</v>
      </c>
      <c r="Y108" s="1">
        <v>145.06</v>
      </c>
      <c r="Z108" s="1">
        <v>152.63999999999999</v>
      </c>
      <c r="AA108" s="1">
        <v>134</v>
      </c>
      <c r="AB108" s="1">
        <v>147.76</v>
      </c>
      <c r="AC108" s="1">
        <v>155.92000000000002</v>
      </c>
      <c r="AD108" s="1">
        <v>151.76</v>
      </c>
      <c r="AE108" s="1">
        <v>145.94</v>
      </c>
      <c r="AF108" s="1">
        <v>151.58000000000001</v>
      </c>
      <c r="AG108" s="1">
        <f t="shared" si="8"/>
        <v>1974.9199999999998</v>
      </c>
      <c r="AH108" s="1">
        <f t="shared" si="9"/>
        <v>184.56</v>
      </c>
      <c r="AI108" s="1">
        <f t="shared" si="10"/>
        <v>444.24</v>
      </c>
      <c r="AJ108" s="1">
        <f t="shared" si="11"/>
        <v>154.69999999999999</v>
      </c>
      <c r="AK108" s="1">
        <f t="shared" si="12"/>
        <v>140.57999999999998</v>
      </c>
      <c r="AL108" s="1">
        <f t="shared" si="13"/>
        <v>1033.0800000000002</v>
      </c>
    </row>
    <row r="109" spans="1:38" x14ac:dyDescent="0.3">
      <c r="A109" t="s">
        <v>31</v>
      </c>
      <c r="B109" s="1">
        <v>2020</v>
      </c>
      <c r="C109" t="s">
        <v>36</v>
      </c>
      <c r="D109" t="str">
        <f t="shared" si="7"/>
        <v>2020-June</v>
      </c>
      <c r="E109" s="1">
        <v>6</v>
      </c>
      <c r="F109" s="1">
        <v>149.54</v>
      </c>
      <c r="G109" s="1">
        <v>191.98</v>
      </c>
      <c r="H109" s="1">
        <v>151.04</v>
      </c>
      <c r="I109" s="1">
        <v>153.32</v>
      </c>
      <c r="J109" s="1">
        <v>136.69999999999999</v>
      </c>
      <c r="K109" s="1">
        <v>147.26</v>
      </c>
      <c r="L109" s="1">
        <v>160.82</v>
      </c>
      <c r="M109" s="1">
        <v>150.80000000000001</v>
      </c>
      <c r="N109" s="1">
        <v>114.42</v>
      </c>
      <c r="O109" s="1">
        <v>159.52000000000001</v>
      </c>
      <c r="P109" s="1">
        <v>140</v>
      </c>
      <c r="Q109" s="1">
        <v>161.72</v>
      </c>
      <c r="R109" s="1">
        <v>154.51999999999998</v>
      </c>
      <c r="S109" s="1">
        <v>183.39999999999998</v>
      </c>
      <c r="T109" s="1">
        <v>152.78</v>
      </c>
      <c r="U109" s="1">
        <v>144.94</v>
      </c>
      <c r="V109" s="1">
        <v>151.68</v>
      </c>
      <c r="W109" s="1">
        <v>154.69999999999999</v>
      </c>
      <c r="X109" s="1">
        <v>142.32</v>
      </c>
      <c r="Y109" s="1">
        <v>147.35999999999999</v>
      </c>
      <c r="Z109" s="1">
        <v>154.78000000000003</v>
      </c>
      <c r="AA109" s="1">
        <v>136.86000000000001</v>
      </c>
      <c r="AB109" s="1">
        <v>149.30000000000001</v>
      </c>
      <c r="AC109" s="1">
        <v>157.95999999999998</v>
      </c>
      <c r="AD109" s="1">
        <v>152.04</v>
      </c>
      <c r="AE109" s="1">
        <v>148.14000000000001</v>
      </c>
      <c r="AF109" s="1">
        <v>152.35999999999999</v>
      </c>
      <c r="AG109" s="1">
        <f t="shared" si="8"/>
        <v>1971.6399999999999</v>
      </c>
      <c r="AH109" s="1">
        <f t="shared" si="9"/>
        <v>183.39999999999998</v>
      </c>
      <c r="AI109" s="1">
        <f t="shared" si="10"/>
        <v>449.40000000000003</v>
      </c>
      <c r="AJ109" s="1">
        <f t="shared" si="11"/>
        <v>154.69999999999999</v>
      </c>
      <c r="AK109" s="1">
        <f t="shared" si="12"/>
        <v>142.32</v>
      </c>
      <c r="AL109" s="1">
        <f t="shared" si="13"/>
        <v>1046.44</v>
      </c>
    </row>
    <row r="110" spans="1:38" x14ac:dyDescent="0.3">
      <c r="A110" t="s">
        <v>28</v>
      </c>
      <c r="B110" s="1">
        <v>2020</v>
      </c>
      <c r="C110" t="s">
        <v>35</v>
      </c>
      <c r="D110" t="str">
        <f t="shared" si="7"/>
        <v>2020-May</v>
      </c>
      <c r="E110" s="1">
        <v>5</v>
      </c>
      <c r="F110" s="1">
        <v>150.44999999999999</v>
      </c>
      <c r="G110" s="1">
        <v>193.65</v>
      </c>
      <c r="H110" s="1">
        <v>152</v>
      </c>
      <c r="I110" s="1">
        <v>153.35</v>
      </c>
      <c r="J110" s="1">
        <v>135.55000000000001</v>
      </c>
      <c r="K110" s="1">
        <v>147.5</v>
      </c>
      <c r="L110" s="1">
        <v>160.05000000000001</v>
      </c>
      <c r="M110" s="1">
        <v>151.15</v>
      </c>
      <c r="N110" s="1">
        <v>114.75</v>
      </c>
      <c r="O110" s="1">
        <v>159.30000000000001</v>
      </c>
      <c r="P110" s="1">
        <v>138.85</v>
      </c>
      <c r="Q110" s="1">
        <v>161.75</v>
      </c>
      <c r="R110" s="1">
        <v>154.65</v>
      </c>
      <c r="S110" s="1">
        <v>184.55</v>
      </c>
      <c r="T110" s="1">
        <v>151.89999999999998</v>
      </c>
      <c r="U110" s="1">
        <v>143.30000000000001</v>
      </c>
      <c r="V110" s="1">
        <v>150.64999999999998</v>
      </c>
      <c r="W110" s="1">
        <v>154.69999999999999</v>
      </c>
      <c r="X110" s="1">
        <v>141</v>
      </c>
      <c r="Y110" s="1">
        <v>146.05000000000001</v>
      </c>
      <c r="Z110" s="1">
        <v>153.14999999999998</v>
      </c>
      <c r="AA110" s="1">
        <v>135.35000000000002</v>
      </c>
      <c r="AB110" s="1">
        <v>148.85</v>
      </c>
      <c r="AC110" s="1">
        <v>157.15</v>
      </c>
      <c r="AD110" s="1">
        <v>151.69999999999999</v>
      </c>
      <c r="AE110" s="1">
        <v>146.85</v>
      </c>
      <c r="AF110" s="1">
        <v>151.75</v>
      </c>
      <c r="AG110" s="1">
        <f t="shared" si="8"/>
        <v>1973</v>
      </c>
      <c r="AH110" s="1">
        <f t="shared" si="9"/>
        <v>184.55</v>
      </c>
      <c r="AI110" s="1">
        <f t="shared" si="10"/>
        <v>445.84999999999997</v>
      </c>
      <c r="AJ110" s="1">
        <f t="shared" si="11"/>
        <v>154.69999999999999</v>
      </c>
      <c r="AK110" s="1">
        <f t="shared" si="12"/>
        <v>141</v>
      </c>
      <c r="AL110" s="1">
        <f t="shared" si="13"/>
        <v>1039.0999999999999</v>
      </c>
    </row>
    <row r="111" spans="1:38" x14ac:dyDescent="0.3">
      <c r="A111" t="s">
        <v>30</v>
      </c>
      <c r="B111" s="1">
        <v>2020</v>
      </c>
      <c r="C111" t="s">
        <v>35</v>
      </c>
      <c r="D111" t="str">
        <f t="shared" si="7"/>
        <v>2020-May</v>
      </c>
      <c r="E111" s="1">
        <v>5</v>
      </c>
      <c r="F111" s="1">
        <v>150.16666670000001</v>
      </c>
      <c r="G111" s="1">
        <v>193.33333329999999</v>
      </c>
      <c r="H111" s="1">
        <v>151.80000000000001</v>
      </c>
      <c r="I111" s="1">
        <v>153.33333329999999</v>
      </c>
      <c r="J111" s="1">
        <v>135.80000000000001</v>
      </c>
      <c r="K111" s="1">
        <v>147.4</v>
      </c>
      <c r="L111" s="1">
        <v>158.8666667</v>
      </c>
      <c r="M111" s="1">
        <v>151.06666670000001</v>
      </c>
      <c r="N111" s="1">
        <v>114.5666667</v>
      </c>
      <c r="O111" s="1">
        <v>159.36666666666667</v>
      </c>
      <c r="P111" s="1">
        <v>139.03333333333333</v>
      </c>
      <c r="Q111" s="1">
        <v>161.76666666666668</v>
      </c>
      <c r="R111" s="1">
        <v>154.43333333333334</v>
      </c>
      <c r="S111" s="1">
        <v>184.20000000000002</v>
      </c>
      <c r="T111" s="1">
        <v>152.1</v>
      </c>
      <c r="U111" s="1">
        <v>143.66666666666666</v>
      </c>
      <c r="V111" s="1">
        <v>150.89999999999998</v>
      </c>
      <c r="W111" s="1">
        <v>154.69999999999999</v>
      </c>
      <c r="X111" s="1">
        <v>141.29999999999998</v>
      </c>
      <c r="Y111" s="1">
        <v>146.16666666666666</v>
      </c>
      <c r="Z111" s="1">
        <v>153.56666666666663</v>
      </c>
      <c r="AA111" s="1">
        <v>135.23333333333335</v>
      </c>
      <c r="AB111" s="1">
        <v>148.66666666666666</v>
      </c>
      <c r="AC111" s="1">
        <v>156.9</v>
      </c>
      <c r="AD111" s="1">
        <v>151.66666666666666</v>
      </c>
      <c r="AE111" s="1">
        <v>146.9</v>
      </c>
      <c r="AF111" s="1">
        <v>151.76666666666668</v>
      </c>
      <c r="AG111" s="1">
        <f t="shared" si="8"/>
        <v>1970.9333334</v>
      </c>
      <c r="AH111" s="1">
        <f t="shared" si="9"/>
        <v>184.20000000000002</v>
      </c>
      <c r="AI111" s="1">
        <f t="shared" si="10"/>
        <v>446.66666666666663</v>
      </c>
      <c r="AJ111" s="1">
        <f t="shared" si="11"/>
        <v>154.69999999999999</v>
      </c>
      <c r="AK111" s="1">
        <f t="shared" si="12"/>
        <v>141.29999999999998</v>
      </c>
      <c r="AL111" s="1">
        <f t="shared" si="13"/>
        <v>1039.0999999999999</v>
      </c>
    </row>
    <row r="112" spans="1:38" x14ac:dyDescent="0.3">
      <c r="A112" t="s">
        <v>31</v>
      </c>
      <c r="B112" s="1">
        <v>2020</v>
      </c>
      <c r="C112" t="s">
        <v>35</v>
      </c>
      <c r="D112" t="str">
        <f t="shared" si="7"/>
        <v>2020-May</v>
      </c>
      <c r="E112" s="1">
        <v>5</v>
      </c>
      <c r="F112" s="1">
        <v>149.67500000000001</v>
      </c>
      <c r="G112" s="1">
        <v>192.57499999999999</v>
      </c>
      <c r="H112" s="1">
        <v>151.19999999999999</v>
      </c>
      <c r="I112" s="1">
        <v>153.32499999999999</v>
      </c>
      <c r="J112" s="1">
        <v>136.4</v>
      </c>
      <c r="K112" s="1">
        <v>146.35</v>
      </c>
      <c r="L112" s="1">
        <v>156.375</v>
      </c>
      <c r="M112" s="1">
        <v>150.875</v>
      </c>
      <c r="N112" s="1">
        <v>114.22499999999999</v>
      </c>
      <c r="O112" s="1">
        <v>159.47500000000002</v>
      </c>
      <c r="P112" s="1">
        <v>139.80000000000001</v>
      </c>
      <c r="Q112" s="1">
        <v>161.77500000000001</v>
      </c>
      <c r="R112" s="1">
        <v>153.9</v>
      </c>
      <c r="S112" s="1">
        <v>183.75</v>
      </c>
      <c r="T112" s="1">
        <v>152.75</v>
      </c>
      <c r="U112" s="1">
        <v>145.25</v>
      </c>
      <c r="V112" s="1">
        <v>151.69999999999999</v>
      </c>
      <c r="W112" s="1">
        <v>154.69999999999999</v>
      </c>
      <c r="X112" s="1">
        <v>142.19999999999999</v>
      </c>
      <c r="Y112" s="1">
        <v>147.55000000000001</v>
      </c>
      <c r="Z112" s="1">
        <v>154.72499999999997</v>
      </c>
      <c r="AA112" s="1">
        <v>136.77500000000001</v>
      </c>
      <c r="AB112" s="1">
        <v>149.80000000000001</v>
      </c>
      <c r="AC112" s="1">
        <v>158.125</v>
      </c>
      <c r="AD112" s="1">
        <v>151.55000000000001</v>
      </c>
      <c r="AE112" s="1">
        <v>148.1</v>
      </c>
      <c r="AF112" s="1">
        <v>152</v>
      </c>
      <c r="AG112" s="1">
        <f t="shared" si="8"/>
        <v>1965.95</v>
      </c>
      <c r="AH112" s="1">
        <f t="shared" si="9"/>
        <v>183.75</v>
      </c>
      <c r="AI112" s="1">
        <f t="shared" si="10"/>
        <v>449.7</v>
      </c>
      <c r="AJ112" s="1">
        <f t="shared" si="11"/>
        <v>154.69999999999999</v>
      </c>
      <c r="AK112" s="1">
        <f t="shared" si="12"/>
        <v>142.19999999999999</v>
      </c>
      <c r="AL112" s="1">
        <f t="shared" si="13"/>
        <v>1046.6249999999998</v>
      </c>
    </row>
    <row r="113" spans="1:38" x14ac:dyDescent="0.3">
      <c r="A113" t="s">
        <v>28</v>
      </c>
      <c r="B113" s="1">
        <v>2020</v>
      </c>
      <c r="C113" t="s">
        <v>34</v>
      </c>
      <c r="D113" t="str">
        <f t="shared" si="7"/>
        <v>2020-April</v>
      </c>
      <c r="E113" s="1">
        <v>4</v>
      </c>
      <c r="F113" s="1">
        <v>149.2333333</v>
      </c>
      <c r="G113" s="1">
        <v>167</v>
      </c>
      <c r="H113" s="1">
        <v>149.19999999999999</v>
      </c>
      <c r="I113" s="1">
        <v>155.56666670000001</v>
      </c>
      <c r="J113" s="1">
        <v>134.6</v>
      </c>
      <c r="K113" s="1">
        <v>150.03333330000001</v>
      </c>
      <c r="L113" s="1">
        <v>170.43333329999999</v>
      </c>
      <c r="M113" s="1">
        <v>150.46666669999999</v>
      </c>
      <c r="N113" s="1">
        <v>120.4333333</v>
      </c>
      <c r="O113" s="1">
        <v>156.6</v>
      </c>
      <c r="P113" s="1">
        <v>136.5</v>
      </c>
      <c r="Q113" s="1">
        <v>160</v>
      </c>
      <c r="R113" s="1">
        <v>151.66666666666666</v>
      </c>
      <c r="S113" s="1">
        <v>171.2</v>
      </c>
      <c r="T113" s="1">
        <v>151.19999999999999</v>
      </c>
      <c r="U113" s="1">
        <v>142</v>
      </c>
      <c r="V113" s="1">
        <v>149.80000000000001</v>
      </c>
      <c r="W113" s="1">
        <v>155.6</v>
      </c>
      <c r="X113" s="1">
        <v>143.20000000000002</v>
      </c>
      <c r="Y113" s="1">
        <v>146.4</v>
      </c>
      <c r="Z113" s="1">
        <v>149.93333333333334</v>
      </c>
      <c r="AA113" s="1">
        <v>130</v>
      </c>
      <c r="AB113" s="1">
        <v>143.69999999999999</v>
      </c>
      <c r="AC113" s="1">
        <v>156.1</v>
      </c>
      <c r="AD113" s="1">
        <v>145.19999999999999</v>
      </c>
      <c r="AE113" s="1">
        <v>143.80000000000001</v>
      </c>
      <c r="AF113" s="1">
        <v>148.6</v>
      </c>
      <c r="AG113" s="1">
        <f t="shared" si="8"/>
        <v>1951.7333332666665</v>
      </c>
      <c r="AH113" s="1">
        <f t="shared" si="9"/>
        <v>171.2</v>
      </c>
      <c r="AI113" s="1">
        <f t="shared" si="10"/>
        <v>443</v>
      </c>
      <c r="AJ113" s="1">
        <f t="shared" si="11"/>
        <v>155.6</v>
      </c>
      <c r="AK113" s="1">
        <f t="shared" si="12"/>
        <v>143.20000000000002</v>
      </c>
      <c r="AL113" s="1">
        <f t="shared" si="13"/>
        <v>1015.1333333333332</v>
      </c>
    </row>
    <row r="114" spans="1:38" x14ac:dyDescent="0.3">
      <c r="A114" t="s">
        <v>30</v>
      </c>
      <c r="B114" s="1">
        <v>2020</v>
      </c>
      <c r="C114" t="s">
        <v>34</v>
      </c>
      <c r="D114" t="str">
        <f t="shared" si="7"/>
        <v>2020-April</v>
      </c>
      <c r="E114" s="1">
        <v>4</v>
      </c>
      <c r="F114" s="1">
        <v>150.25</v>
      </c>
      <c r="G114" s="1">
        <v>167</v>
      </c>
      <c r="H114" s="1">
        <v>150.35</v>
      </c>
      <c r="I114" s="1">
        <v>155.55000000000001</v>
      </c>
      <c r="J114" s="1">
        <v>133.35</v>
      </c>
      <c r="K114" s="1">
        <v>151.4</v>
      </c>
      <c r="L114" s="1">
        <v>174.3</v>
      </c>
      <c r="M114" s="1">
        <v>150.6</v>
      </c>
      <c r="N114" s="1">
        <v>120.75</v>
      </c>
      <c r="O114" s="1">
        <v>155.55000000000001</v>
      </c>
      <c r="P114" s="1">
        <v>135.15</v>
      </c>
      <c r="Q114" s="1">
        <v>160</v>
      </c>
      <c r="R114" s="1">
        <v>152.44999999999999</v>
      </c>
      <c r="S114" s="1">
        <v>171.2</v>
      </c>
      <c r="T114" s="1">
        <v>151.19999999999999</v>
      </c>
      <c r="U114" s="1">
        <v>142</v>
      </c>
      <c r="V114" s="1">
        <v>149.80000000000001</v>
      </c>
      <c r="W114" s="1">
        <v>155.6</v>
      </c>
      <c r="X114" s="1">
        <v>140.6</v>
      </c>
      <c r="Y114" s="1">
        <v>146.4</v>
      </c>
      <c r="Z114" s="1">
        <v>147.75</v>
      </c>
      <c r="AA114" s="1">
        <v>130</v>
      </c>
      <c r="AB114" s="1">
        <v>143.69999999999999</v>
      </c>
      <c r="AC114" s="1">
        <v>156.1</v>
      </c>
      <c r="AD114" s="1">
        <v>145.19999999999999</v>
      </c>
      <c r="AE114" s="1">
        <v>143.80000000000001</v>
      </c>
      <c r="AF114" s="1">
        <v>148.6</v>
      </c>
      <c r="AG114" s="1">
        <f t="shared" si="8"/>
        <v>1956.7</v>
      </c>
      <c r="AH114" s="1">
        <f t="shared" si="9"/>
        <v>171.2</v>
      </c>
      <c r="AI114" s="1">
        <f t="shared" si="10"/>
        <v>443</v>
      </c>
      <c r="AJ114" s="1">
        <f t="shared" si="11"/>
        <v>155.6</v>
      </c>
      <c r="AK114" s="1">
        <f t="shared" si="12"/>
        <v>140.6</v>
      </c>
      <c r="AL114" s="1">
        <f t="shared" si="13"/>
        <v>1012.9499999999998</v>
      </c>
    </row>
    <row r="115" spans="1:38" x14ac:dyDescent="0.3">
      <c r="A115" t="s">
        <v>31</v>
      </c>
      <c r="B115" s="1">
        <v>2020</v>
      </c>
      <c r="C115" t="s">
        <v>34</v>
      </c>
      <c r="D115" t="str">
        <f t="shared" si="7"/>
        <v>2020-April</v>
      </c>
      <c r="E115" s="1">
        <v>4</v>
      </c>
      <c r="F115" s="1">
        <v>148.44999999999999</v>
      </c>
      <c r="G115" s="1">
        <v>190.3</v>
      </c>
      <c r="H115" s="1">
        <v>149.1</v>
      </c>
      <c r="I115" s="1">
        <v>154.44999999999999</v>
      </c>
      <c r="J115" s="1">
        <v>136.65</v>
      </c>
      <c r="K115" s="1">
        <v>146.55000000000001</v>
      </c>
      <c r="L115" s="1">
        <v>158.75</v>
      </c>
      <c r="M115" s="1">
        <v>150.35</v>
      </c>
      <c r="N115" s="1">
        <v>116.75</v>
      </c>
      <c r="O115" s="1">
        <v>158.44999999999999</v>
      </c>
      <c r="P115" s="1">
        <v>139.44999999999999</v>
      </c>
      <c r="Q115" s="1">
        <v>161.80000000000001</v>
      </c>
      <c r="R115" s="1">
        <v>151.85000000000002</v>
      </c>
      <c r="S115" s="1">
        <v>182.4</v>
      </c>
      <c r="T115" s="1">
        <v>154.69999999999999</v>
      </c>
      <c r="U115" s="1">
        <v>150</v>
      </c>
      <c r="V115" s="1">
        <v>154.1</v>
      </c>
      <c r="W115" s="1">
        <v>155.6</v>
      </c>
      <c r="X115" s="1">
        <v>144.5</v>
      </c>
      <c r="Y115" s="1">
        <v>151.69999999999999</v>
      </c>
      <c r="Z115" s="1">
        <v>154.44999999999999</v>
      </c>
      <c r="AA115" s="1">
        <v>141.4</v>
      </c>
      <c r="AB115" s="1">
        <v>153.19999999999999</v>
      </c>
      <c r="AC115" s="1">
        <v>161.80000000000001</v>
      </c>
      <c r="AD115" s="1">
        <v>151.19999999999999</v>
      </c>
      <c r="AE115" s="1">
        <v>151.69999999999999</v>
      </c>
      <c r="AF115" s="1">
        <v>152.69999999999999</v>
      </c>
      <c r="AG115" s="1">
        <f t="shared" si="8"/>
        <v>1962.9</v>
      </c>
      <c r="AH115" s="1">
        <f t="shared" si="9"/>
        <v>182.4</v>
      </c>
      <c r="AI115" s="1">
        <f t="shared" si="10"/>
        <v>458.79999999999995</v>
      </c>
      <c r="AJ115" s="1">
        <f t="shared" si="11"/>
        <v>155.6</v>
      </c>
      <c r="AK115" s="1">
        <f t="shared" si="12"/>
        <v>144.5</v>
      </c>
      <c r="AL115" s="1">
        <f t="shared" si="13"/>
        <v>1065.45</v>
      </c>
    </row>
    <row r="116" spans="1:38" x14ac:dyDescent="0.3">
      <c r="A116" t="s">
        <v>28</v>
      </c>
      <c r="B116" s="1">
        <v>2020</v>
      </c>
      <c r="C116" t="s">
        <v>33</v>
      </c>
      <c r="D116" t="str">
        <f t="shared" si="7"/>
        <v>2020-March</v>
      </c>
      <c r="E116" s="1">
        <v>3</v>
      </c>
      <c r="F116" s="1">
        <v>147</v>
      </c>
      <c r="G116" s="1">
        <v>167.1</v>
      </c>
      <c r="H116" s="1">
        <v>148.68</v>
      </c>
      <c r="I116" s="1">
        <v>153.08000000000001</v>
      </c>
      <c r="J116" s="1">
        <v>132.13999999999999</v>
      </c>
      <c r="K116" s="1">
        <v>145.56</v>
      </c>
      <c r="L116" s="1">
        <v>163.86</v>
      </c>
      <c r="M116" s="1">
        <v>144.72</v>
      </c>
      <c r="N116" s="1">
        <v>116.24</v>
      </c>
      <c r="O116" s="1">
        <v>154.28</v>
      </c>
      <c r="P116" s="1">
        <v>136.28</v>
      </c>
      <c r="Q116" s="1">
        <v>159.56666666666669</v>
      </c>
      <c r="R116" s="1">
        <v>150.16</v>
      </c>
      <c r="S116" s="1">
        <v>171.66666666666666</v>
      </c>
      <c r="T116" s="1">
        <v>150.76666666666668</v>
      </c>
      <c r="U116" s="1">
        <v>141.1</v>
      </c>
      <c r="V116" s="1">
        <v>149.30000000000001</v>
      </c>
      <c r="W116" s="1">
        <v>154.86666666666667</v>
      </c>
      <c r="X116" s="1">
        <v>145.84</v>
      </c>
      <c r="Y116" s="1">
        <v>146.23333333333335</v>
      </c>
      <c r="Z116" s="1">
        <v>150.61999999999998</v>
      </c>
      <c r="AA116" s="1">
        <v>130.1</v>
      </c>
      <c r="AB116" s="1">
        <v>144.26666666666668</v>
      </c>
      <c r="AC116" s="1">
        <v>156.6</v>
      </c>
      <c r="AD116" s="1">
        <v>145.19999999999999</v>
      </c>
      <c r="AE116" s="1">
        <v>143.69999999999999</v>
      </c>
      <c r="AF116" s="1">
        <v>148.56666666666669</v>
      </c>
      <c r="AG116" s="1">
        <f t="shared" si="8"/>
        <v>1918.6666666666667</v>
      </c>
      <c r="AH116" s="1">
        <f t="shared" si="9"/>
        <v>171.66666666666666</v>
      </c>
      <c r="AI116" s="1">
        <f t="shared" si="10"/>
        <v>441.16666666666669</v>
      </c>
      <c r="AJ116" s="1">
        <f t="shared" si="11"/>
        <v>154.86666666666667</v>
      </c>
      <c r="AK116" s="1">
        <f t="shared" si="12"/>
        <v>145.84</v>
      </c>
      <c r="AL116" s="1">
        <f t="shared" si="13"/>
        <v>1016.72</v>
      </c>
    </row>
    <row r="117" spans="1:38" x14ac:dyDescent="0.3">
      <c r="A117" t="s">
        <v>30</v>
      </c>
      <c r="B117" s="1">
        <v>2020</v>
      </c>
      <c r="C117" t="s">
        <v>33</v>
      </c>
      <c r="D117" t="str">
        <f t="shared" si="7"/>
        <v>2020-March</v>
      </c>
      <c r="E117" s="1">
        <v>3</v>
      </c>
      <c r="F117" s="1">
        <v>147.86000000000001</v>
      </c>
      <c r="G117" s="1">
        <v>167.25</v>
      </c>
      <c r="H117" s="1">
        <v>148.91999999999999</v>
      </c>
      <c r="I117" s="1">
        <v>153.86000000000001</v>
      </c>
      <c r="J117" s="1">
        <v>132.5</v>
      </c>
      <c r="K117" s="1">
        <v>147.18</v>
      </c>
      <c r="L117" s="1">
        <v>167.12</v>
      </c>
      <c r="M117" s="1">
        <v>146.44</v>
      </c>
      <c r="N117" s="1">
        <v>117.78</v>
      </c>
      <c r="O117" s="1">
        <v>154.9</v>
      </c>
      <c r="P117" s="1">
        <v>135.61999999999998</v>
      </c>
      <c r="Q117" s="1">
        <v>159.35</v>
      </c>
      <c r="R117" s="1">
        <v>150.80000000000001</v>
      </c>
      <c r="S117" s="1">
        <v>172.25</v>
      </c>
      <c r="T117" s="1">
        <v>149.44999999999999</v>
      </c>
      <c r="U117" s="1">
        <v>137.85000000000002</v>
      </c>
      <c r="V117" s="1">
        <v>147.69999999999999</v>
      </c>
      <c r="W117" s="1">
        <v>155.05000000000001</v>
      </c>
      <c r="X117" s="1">
        <v>143.98000000000002</v>
      </c>
      <c r="Y117" s="1">
        <v>143.60000000000002</v>
      </c>
      <c r="Z117" s="1">
        <v>149.42000000000002</v>
      </c>
      <c r="AA117" s="1">
        <v>127.25</v>
      </c>
      <c r="AB117" s="1">
        <v>140.80000000000001</v>
      </c>
      <c r="AC117" s="1">
        <v>154.30000000000001</v>
      </c>
      <c r="AD117" s="1">
        <v>145.25</v>
      </c>
      <c r="AE117" s="1">
        <v>141.25</v>
      </c>
      <c r="AF117" s="1">
        <v>147.94999999999999</v>
      </c>
      <c r="AG117" s="1">
        <f t="shared" si="8"/>
        <v>1929.58</v>
      </c>
      <c r="AH117" s="1">
        <f t="shared" si="9"/>
        <v>172.25</v>
      </c>
      <c r="AI117" s="1">
        <f t="shared" si="10"/>
        <v>435</v>
      </c>
      <c r="AJ117" s="1">
        <f t="shared" si="11"/>
        <v>155.05000000000001</v>
      </c>
      <c r="AK117" s="1">
        <f t="shared" si="12"/>
        <v>143.98000000000002</v>
      </c>
      <c r="AL117" s="1">
        <f t="shared" si="13"/>
        <v>1001.8700000000001</v>
      </c>
    </row>
    <row r="118" spans="1:38" x14ac:dyDescent="0.3">
      <c r="A118" t="s">
        <v>31</v>
      </c>
      <c r="B118" s="1">
        <v>2020</v>
      </c>
      <c r="C118" t="s">
        <v>33</v>
      </c>
      <c r="D118" t="str">
        <f t="shared" si="7"/>
        <v>2020-March</v>
      </c>
      <c r="E118" s="1">
        <v>3</v>
      </c>
      <c r="F118" s="1">
        <v>148.19999999999999</v>
      </c>
      <c r="G118" s="1">
        <v>167</v>
      </c>
      <c r="H118" s="1">
        <v>148.92500000000001</v>
      </c>
      <c r="I118" s="1">
        <v>154.55000000000001</v>
      </c>
      <c r="J118" s="1">
        <v>133.75</v>
      </c>
      <c r="K118" s="1">
        <v>148.15</v>
      </c>
      <c r="L118" s="1">
        <v>167.15</v>
      </c>
      <c r="M118" s="1">
        <v>148.125</v>
      </c>
      <c r="N118" s="1">
        <v>118.625</v>
      </c>
      <c r="O118" s="1">
        <v>155.75</v>
      </c>
      <c r="P118" s="1">
        <v>136.55000000000001</v>
      </c>
      <c r="Q118" s="1">
        <v>159.6</v>
      </c>
      <c r="R118" s="1">
        <v>150.97499999999999</v>
      </c>
      <c r="S118" s="1">
        <v>171.2</v>
      </c>
      <c r="T118" s="1">
        <v>151.19999999999999</v>
      </c>
      <c r="U118" s="1">
        <v>141.9</v>
      </c>
      <c r="V118" s="1">
        <v>149.80000000000001</v>
      </c>
      <c r="W118" s="1">
        <v>155.23333333333335</v>
      </c>
      <c r="X118" s="1">
        <v>144.625</v>
      </c>
      <c r="Y118" s="1">
        <v>146.4</v>
      </c>
      <c r="Z118" s="1">
        <v>150.52500000000001</v>
      </c>
      <c r="AA118" s="1">
        <v>129.9</v>
      </c>
      <c r="AB118" s="1">
        <v>143.69999999999999</v>
      </c>
      <c r="AC118" s="1">
        <v>156.1</v>
      </c>
      <c r="AD118" s="1">
        <v>145.19999999999999</v>
      </c>
      <c r="AE118" s="1">
        <v>143.80000000000001</v>
      </c>
      <c r="AF118" s="1">
        <v>148.6</v>
      </c>
      <c r="AG118" s="1">
        <f t="shared" si="8"/>
        <v>1937.3499999999997</v>
      </c>
      <c r="AH118" s="1">
        <f t="shared" si="9"/>
        <v>171.2</v>
      </c>
      <c r="AI118" s="1">
        <f t="shared" si="10"/>
        <v>442.90000000000003</v>
      </c>
      <c r="AJ118" s="1">
        <f t="shared" si="11"/>
        <v>155.23333333333335</v>
      </c>
      <c r="AK118" s="1">
        <f t="shared" si="12"/>
        <v>144.625</v>
      </c>
      <c r="AL118" s="1">
        <f t="shared" si="13"/>
        <v>1015.625</v>
      </c>
    </row>
    <row r="119" spans="1:38" x14ac:dyDescent="0.3">
      <c r="A119" t="s">
        <v>28</v>
      </c>
      <c r="B119" s="1">
        <v>2020</v>
      </c>
      <c r="C119" t="s">
        <v>32</v>
      </c>
      <c r="D119" t="str">
        <f t="shared" si="7"/>
        <v>2020-February</v>
      </c>
      <c r="E119" s="1">
        <v>2</v>
      </c>
      <c r="F119" s="1">
        <v>145.22</v>
      </c>
      <c r="G119" s="1">
        <v>167.38</v>
      </c>
      <c r="H119" s="1">
        <v>150.46</v>
      </c>
      <c r="I119" s="1">
        <v>151.04</v>
      </c>
      <c r="J119" s="1">
        <v>130.66</v>
      </c>
      <c r="K119" s="1">
        <v>142.13999999999999</v>
      </c>
      <c r="L119" s="1">
        <v>167.36</v>
      </c>
      <c r="M119" s="1">
        <v>140.80000000000001</v>
      </c>
      <c r="N119" s="1">
        <v>113.66</v>
      </c>
      <c r="O119" s="1">
        <v>152.14000000000001</v>
      </c>
      <c r="P119" s="1">
        <v>136.02000000000001</v>
      </c>
      <c r="Q119" s="1">
        <v>159.28</v>
      </c>
      <c r="R119" s="1">
        <v>150.06</v>
      </c>
      <c r="S119" s="1">
        <v>171.06</v>
      </c>
      <c r="T119" s="1">
        <v>150.44</v>
      </c>
      <c r="U119" s="1">
        <v>140.82</v>
      </c>
      <c r="V119" s="1">
        <v>149.02000000000001</v>
      </c>
      <c r="W119" s="1">
        <v>154.70000000000002</v>
      </c>
      <c r="X119" s="1">
        <v>146.64000000000001</v>
      </c>
      <c r="Y119" s="1">
        <v>146.18</v>
      </c>
      <c r="Z119" s="1">
        <v>150.80000000000001</v>
      </c>
      <c r="AA119" s="1">
        <v>130.38</v>
      </c>
      <c r="AB119" s="1">
        <v>144.07999999999998</v>
      </c>
      <c r="AC119" s="1">
        <v>156.80000000000001</v>
      </c>
      <c r="AD119" s="1">
        <v>144.14000000000001</v>
      </c>
      <c r="AE119" s="1">
        <v>143.54000000000002</v>
      </c>
      <c r="AF119" s="1">
        <v>148.85999999999999</v>
      </c>
      <c r="AG119" s="1">
        <f t="shared" si="8"/>
        <v>1906.22</v>
      </c>
      <c r="AH119" s="1">
        <f t="shared" si="9"/>
        <v>171.06</v>
      </c>
      <c r="AI119" s="1">
        <f t="shared" si="10"/>
        <v>440.28</v>
      </c>
      <c r="AJ119" s="1">
        <f t="shared" si="11"/>
        <v>154.70000000000002</v>
      </c>
      <c r="AK119" s="1">
        <f t="shared" si="12"/>
        <v>146.64000000000001</v>
      </c>
      <c r="AL119" s="1">
        <f t="shared" si="13"/>
        <v>1015.9200000000001</v>
      </c>
    </row>
    <row r="120" spans="1:38" x14ac:dyDescent="0.3">
      <c r="A120" t="s">
        <v>30</v>
      </c>
      <c r="B120" s="1">
        <v>2020</v>
      </c>
      <c r="C120" t="s">
        <v>32</v>
      </c>
      <c r="D120" t="str">
        <f t="shared" si="7"/>
        <v>2020-February</v>
      </c>
      <c r="E120" s="1">
        <v>2</v>
      </c>
      <c r="F120" s="1">
        <v>145.4</v>
      </c>
      <c r="G120" s="1">
        <v>167.28</v>
      </c>
      <c r="H120" s="1">
        <v>149.9</v>
      </c>
      <c r="I120" s="1">
        <v>151.16</v>
      </c>
      <c r="J120" s="1">
        <v>130.16</v>
      </c>
      <c r="K120" s="1">
        <v>142.5</v>
      </c>
      <c r="L120" s="1">
        <v>165.8</v>
      </c>
      <c r="M120" s="1">
        <v>140.66</v>
      </c>
      <c r="N120" s="1">
        <v>113.68</v>
      </c>
      <c r="O120" s="1">
        <v>152.21999999999997</v>
      </c>
      <c r="P120" s="1">
        <v>135.34</v>
      </c>
      <c r="Q120" s="1">
        <v>159.36000000000001</v>
      </c>
      <c r="R120" s="1">
        <v>149.88</v>
      </c>
      <c r="S120" s="1">
        <v>171.42000000000002</v>
      </c>
      <c r="T120" s="1">
        <v>150.08000000000001</v>
      </c>
      <c r="U120" s="1">
        <v>139.69999999999999</v>
      </c>
      <c r="V120" s="1">
        <v>148.51999999999998</v>
      </c>
      <c r="W120" s="1">
        <v>154.65</v>
      </c>
      <c r="X120" s="1">
        <v>145.95999999999998</v>
      </c>
      <c r="Y120" s="1">
        <v>145.1</v>
      </c>
      <c r="Z120" s="1">
        <v>150.01999999999998</v>
      </c>
      <c r="AA120" s="1">
        <v>129.16</v>
      </c>
      <c r="AB120" s="1">
        <v>142.74</v>
      </c>
      <c r="AC120" s="1">
        <v>155.63999999999999</v>
      </c>
      <c r="AD120" s="1">
        <v>144.5</v>
      </c>
      <c r="AE120" s="1">
        <v>142.61999999999998</v>
      </c>
      <c r="AF120" s="1">
        <v>148.5</v>
      </c>
      <c r="AG120" s="1">
        <f t="shared" si="8"/>
        <v>1903.3400000000001</v>
      </c>
      <c r="AH120" s="1">
        <f t="shared" si="9"/>
        <v>171.42000000000002</v>
      </c>
      <c r="AI120" s="1">
        <f t="shared" si="10"/>
        <v>438.29999999999995</v>
      </c>
      <c r="AJ120" s="1">
        <f t="shared" si="11"/>
        <v>154.65</v>
      </c>
      <c r="AK120" s="1">
        <f t="shared" si="12"/>
        <v>145.95999999999998</v>
      </c>
      <c r="AL120" s="1">
        <f t="shared" si="13"/>
        <v>1009.78</v>
      </c>
    </row>
    <row r="121" spans="1:38" x14ac:dyDescent="0.3">
      <c r="A121" t="s">
        <v>31</v>
      </c>
      <c r="B121" s="1">
        <v>2020</v>
      </c>
      <c r="C121" t="s">
        <v>32</v>
      </c>
      <c r="D121" t="str">
        <f t="shared" si="7"/>
        <v>2020-February</v>
      </c>
      <c r="E121" s="1">
        <v>2</v>
      </c>
      <c r="F121" s="1">
        <v>145.6</v>
      </c>
      <c r="G121" s="1">
        <v>167.2</v>
      </c>
      <c r="H121" s="1">
        <v>148.66</v>
      </c>
      <c r="I121" s="1">
        <v>152.13999999999999</v>
      </c>
      <c r="J121" s="1">
        <v>132.1</v>
      </c>
      <c r="K121" s="1">
        <v>143.34</v>
      </c>
      <c r="L121" s="1">
        <v>162</v>
      </c>
      <c r="M121" s="1">
        <v>142.78</v>
      </c>
      <c r="N121" s="1">
        <v>114.72</v>
      </c>
      <c r="O121" s="1">
        <v>153.88000000000002</v>
      </c>
      <c r="P121" s="1">
        <v>136.88000000000002</v>
      </c>
      <c r="Q121" s="1">
        <v>159.45000000000002</v>
      </c>
      <c r="R121" s="1">
        <v>149.56</v>
      </c>
      <c r="S121" s="1">
        <v>171.27500000000003</v>
      </c>
      <c r="T121" s="1">
        <v>150.77500000000001</v>
      </c>
      <c r="U121" s="1">
        <v>141.25</v>
      </c>
      <c r="V121" s="1">
        <v>149.35000000000002</v>
      </c>
      <c r="W121" s="1">
        <v>154.6</v>
      </c>
      <c r="X121" s="1">
        <v>147.85999999999999</v>
      </c>
      <c r="Y121" s="1">
        <v>146.27500000000001</v>
      </c>
      <c r="Z121" s="1">
        <v>152</v>
      </c>
      <c r="AA121" s="1">
        <v>130.15</v>
      </c>
      <c r="AB121" s="1">
        <v>144</v>
      </c>
      <c r="AC121" s="1">
        <v>156.5</v>
      </c>
      <c r="AD121" s="1">
        <v>144.75</v>
      </c>
      <c r="AE121" s="1">
        <v>143.67500000000001</v>
      </c>
      <c r="AF121" s="1">
        <v>148.69999999999999</v>
      </c>
      <c r="AG121" s="1">
        <f t="shared" si="8"/>
        <v>1908.3100000000002</v>
      </c>
      <c r="AH121" s="1">
        <f t="shared" si="9"/>
        <v>171.27500000000003</v>
      </c>
      <c r="AI121" s="1">
        <f t="shared" si="10"/>
        <v>441.375</v>
      </c>
      <c r="AJ121" s="1">
        <f t="shared" si="11"/>
        <v>154.6</v>
      </c>
      <c r="AK121" s="1">
        <f t="shared" si="12"/>
        <v>147.85999999999999</v>
      </c>
      <c r="AL121" s="1">
        <f t="shared" si="13"/>
        <v>1017.3499999999999</v>
      </c>
    </row>
    <row r="122" spans="1:38" x14ac:dyDescent="0.3">
      <c r="A122" t="s">
        <v>28</v>
      </c>
      <c r="B122" s="1">
        <v>2020</v>
      </c>
      <c r="C122" t="s">
        <v>29</v>
      </c>
      <c r="D122" t="str">
        <f t="shared" si="7"/>
        <v>2020-January</v>
      </c>
      <c r="E122" s="1">
        <v>1</v>
      </c>
      <c r="F122" s="1">
        <v>144.80000000000001</v>
      </c>
      <c r="G122" s="1">
        <v>167.48</v>
      </c>
      <c r="H122" s="1">
        <v>153.88</v>
      </c>
      <c r="I122" s="1">
        <v>150.30000000000001</v>
      </c>
      <c r="J122" s="1">
        <v>129.86000000000001</v>
      </c>
      <c r="K122" s="1">
        <v>142.72</v>
      </c>
      <c r="L122" s="1">
        <v>188.62</v>
      </c>
      <c r="M122" s="1">
        <v>140.4</v>
      </c>
      <c r="N122" s="1">
        <v>114.08</v>
      </c>
      <c r="O122" s="1">
        <v>151.04</v>
      </c>
      <c r="P122" s="1">
        <v>135.69999999999999</v>
      </c>
      <c r="Q122" s="1">
        <v>158.80000000000001</v>
      </c>
      <c r="R122" s="1">
        <v>152.48000000000002</v>
      </c>
      <c r="S122" s="1">
        <v>170</v>
      </c>
      <c r="T122" s="1">
        <v>150.11999999999998</v>
      </c>
      <c r="U122" s="1">
        <v>140.62</v>
      </c>
      <c r="V122" s="1">
        <v>148.74</v>
      </c>
      <c r="W122" s="1">
        <v>154.20000000000002</v>
      </c>
      <c r="X122" s="1">
        <v>144.26000000000002</v>
      </c>
      <c r="Y122" s="1">
        <v>146.04</v>
      </c>
      <c r="Z122" s="1">
        <v>150.26</v>
      </c>
      <c r="AA122" s="1">
        <v>130.9</v>
      </c>
      <c r="AB122" s="1">
        <v>143.64000000000001</v>
      </c>
      <c r="AC122" s="1">
        <v>156.80000000000001</v>
      </c>
      <c r="AD122" s="1">
        <v>142.76000000000002</v>
      </c>
      <c r="AE122" s="1">
        <v>143.33999999999997</v>
      </c>
      <c r="AF122" s="1">
        <v>149.68</v>
      </c>
      <c r="AG122" s="1">
        <f t="shared" si="8"/>
        <v>1930.16</v>
      </c>
      <c r="AH122" s="1">
        <f t="shared" si="9"/>
        <v>170</v>
      </c>
      <c r="AI122" s="1">
        <f t="shared" si="10"/>
        <v>439.48</v>
      </c>
      <c r="AJ122" s="1">
        <f t="shared" si="11"/>
        <v>154.20000000000002</v>
      </c>
      <c r="AK122" s="1">
        <f t="shared" si="12"/>
        <v>144.26000000000002</v>
      </c>
      <c r="AL122" s="1">
        <f t="shared" si="13"/>
        <v>1013.7399999999998</v>
      </c>
    </row>
    <row r="123" spans="1:38" x14ac:dyDescent="0.3">
      <c r="A123" t="s">
        <v>30</v>
      </c>
      <c r="B123" s="1">
        <v>2020</v>
      </c>
      <c r="C123" t="s">
        <v>29</v>
      </c>
      <c r="D123" t="str">
        <f t="shared" si="7"/>
        <v>2020-January</v>
      </c>
      <c r="E123" s="1">
        <v>1</v>
      </c>
      <c r="F123" s="1">
        <v>145.02000000000001</v>
      </c>
      <c r="G123" s="1">
        <v>167.52</v>
      </c>
      <c r="H123" s="1">
        <v>153.54</v>
      </c>
      <c r="I123" s="1">
        <v>150.36000000000001</v>
      </c>
      <c r="J123" s="1">
        <v>129.74</v>
      </c>
      <c r="K123" s="1">
        <v>142.63999999999999</v>
      </c>
      <c r="L123" s="1">
        <v>184.46</v>
      </c>
      <c r="M123" s="1">
        <v>140.4</v>
      </c>
      <c r="N123" s="1">
        <v>114.04</v>
      </c>
      <c r="O123" s="1">
        <v>151.12</v>
      </c>
      <c r="P123" s="1">
        <v>135.06</v>
      </c>
      <c r="Q123" s="1">
        <v>158.88</v>
      </c>
      <c r="R123" s="1">
        <v>151.97999999999999</v>
      </c>
      <c r="S123" s="1">
        <v>170.3</v>
      </c>
      <c r="T123" s="1">
        <v>149.71999999999997</v>
      </c>
      <c r="U123" s="1">
        <v>139.48000000000002</v>
      </c>
      <c r="V123" s="1">
        <v>148.22</v>
      </c>
      <c r="W123" s="1">
        <v>154.35000000000002</v>
      </c>
      <c r="X123" s="1">
        <v>143.61999999999998</v>
      </c>
      <c r="Y123" s="1">
        <v>144.97999999999999</v>
      </c>
      <c r="Z123" s="1">
        <v>149.45999999999998</v>
      </c>
      <c r="AA123" s="1">
        <v>129.69999999999999</v>
      </c>
      <c r="AB123" s="1">
        <v>142.26</v>
      </c>
      <c r="AC123" s="1">
        <v>155.69999999999999</v>
      </c>
      <c r="AD123" s="1">
        <v>142.94</v>
      </c>
      <c r="AE123" s="1">
        <v>142.44</v>
      </c>
      <c r="AF123" s="1">
        <v>149.12</v>
      </c>
      <c r="AG123" s="1">
        <f t="shared" si="8"/>
        <v>1924.7600000000002</v>
      </c>
      <c r="AH123" s="1">
        <f t="shared" si="9"/>
        <v>170.3</v>
      </c>
      <c r="AI123" s="1">
        <f t="shared" si="10"/>
        <v>437.41999999999996</v>
      </c>
      <c r="AJ123" s="1">
        <f t="shared" si="11"/>
        <v>154.35000000000002</v>
      </c>
      <c r="AK123" s="1">
        <f t="shared" si="12"/>
        <v>143.61999999999998</v>
      </c>
      <c r="AL123" s="1">
        <f t="shared" si="13"/>
        <v>1007.48</v>
      </c>
    </row>
    <row r="124" spans="1:38" x14ac:dyDescent="0.3">
      <c r="A124" t="s">
        <v>31</v>
      </c>
      <c r="B124" s="1">
        <v>2020</v>
      </c>
      <c r="C124" t="s">
        <v>29</v>
      </c>
      <c r="D124" t="str">
        <f t="shared" si="7"/>
        <v>2020-January</v>
      </c>
      <c r="E124" s="1">
        <v>1</v>
      </c>
      <c r="F124" s="1">
        <v>144.78</v>
      </c>
      <c r="G124" s="1">
        <v>167.36</v>
      </c>
      <c r="H124" s="1">
        <v>151.66</v>
      </c>
      <c r="I124" s="1">
        <v>150.84</v>
      </c>
      <c r="J124" s="1">
        <v>131.13999999999999</v>
      </c>
      <c r="K124" s="1">
        <v>142.12</v>
      </c>
      <c r="L124" s="1">
        <v>173.36</v>
      </c>
      <c r="M124" s="1">
        <v>140.94</v>
      </c>
      <c r="N124" s="1">
        <v>113.6</v>
      </c>
      <c r="O124" s="1">
        <v>152.02000000000001</v>
      </c>
      <c r="P124" s="1">
        <v>136.86000000000001</v>
      </c>
      <c r="Q124" s="1">
        <v>159.18</v>
      </c>
      <c r="R124" s="1">
        <v>150.74</v>
      </c>
      <c r="S124" s="1">
        <v>170.24</v>
      </c>
      <c r="T124" s="1">
        <v>151</v>
      </c>
      <c r="U124" s="1">
        <v>142.36000000000001</v>
      </c>
      <c r="V124" s="1">
        <v>149.74</v>
      </c>
      <c r="W124" s="1">
        <v>154.50000000000003</v>
      </c>
      <c r="X124" s="1">
        <v>147.28</v>
      </c>
      <c r="Y124" s="1">
        <v>147.26</v>
      </c>
      <c r="Z124" s="1">
        <v>152.04000000000002</v>
      </c>
      <c r="AA124" s="1">
        <v>131.64000000000001</v>
      </c>
      <c r="AB124" s="1">
        <v>145.06</v>
      </c>
      <c r="AC124" s="1">
        <v>157.51999999999998</v>
      </c>
      <c r="AD124" s="1">
        <v>143.54000000000002</v>
      </c>
      <c r="AE124" s="1">
        <v>144.48000000000002</v>
      </c>
      <c r="AF124" s="1">
        <v>149.44</v>
      </c>
      <c r="AG124" s="1">
        <f t="shared" si="8"/>
        <v>1914.6</v>
      </c>
      <c r="AH124" s="1">
        <f t="shared" si="9"/>
        <v>170.24</v>
      </c>
      <c r="AI124" s="1">
        <f t="shared" si="10"/>
        <v>443.1</v>
      </c>
      <c r="AJ124" s="1">
        <f t="shared" si="11"/>
        <v>154.50000000000003</v>
      </c>
      <c r="AK124" s="1">
        <f t="shared" si="12"/>
        <v>147.28</v>
      </c>
      <c r="AL124" s="1">
        <f t="shared" si="13"/>
        <v>1021.54</v>
      </c>
    </row>
    <row r="125" spans="1:38" x14ac:dyDescent="0.3">
      <c r="A125" t="s">
        <v>28</v>
      </c>
      <c r="B125" s="1">
        <v>2019</v>
      </c>
      <c r="C125" t="s">
        <v>43</v>
      </c>
      <c r="D125" t="str">
        <f t="shared" si="7"/>
        <v>2019-December</v>
      </c>
      <c r="E125" s="1">
        <v>12</v>
      </c>
      <c r="F125" s="1">
        <v>144.1</v>
      </c>
      <c r="G125" s="1">
        <v>165.94</v>
      </c>
      <c r="H125" s="1">
        <v>152.96</v>
      </c>
      <c r="I125" s="1">
        <v>148.86000000000001</v>
      </c>
      <c r="J125" s="1">
        <v>126.84</v>
      </c>
      <c r="K125" s="1">
        <v>144.76</v>
      </c>
      <c r="L125" s="1">
        <v>211.46</v>
      </c>
      <c r="M125" s="1">
        <v>138.9</v>
      </c>
      <c r="N125" s="1">
        <v>114.18</v>
      </c>
      <c r="O125" s="1">
        <v>149.38</v>
      </c>
      <c r="P125" s="1">
        <v>135.34</v>
      </c>
      <c r="Q125" s="1">
        <v>158.24</v>
      </c>
      <c r="R125" s="1">
        <v>154.6</v>
      </c>
      <c r="S125" s="1">
        <v>169.22000000000003</v>
      </c>
      <c r="T125" s="1">
        <v>149.9</v>
      </c>
      <c r="U125" s="1">
        <v>140.4</v>
      </c>
      <c r="V125" s="1">
        <v>148.5</v>
      </c>
      <c r="W125" s="1">
        <v>153.16666666666666</v>
      </c>
      <c r="X125" s="1">
        <v>142.54000000000002</v>
      </c>
      <c r="Y125" s="1">
        <v>145.72</v>
      </c>
      <c r="Z125" s="1">
        <v>149.57999999999998</v>
      </c>
      <c r="AA125" s="1">
        <v>130.47999999999999</v>
      </c>
      <c r="AB125" s="1">
        <v>143.18</v>
      </c>
      <c r="AC125" s="1">
        <v>156.5</v>
      </c>
      <c r="AD125" s="1">
        <v>141.16</v>
      </c>
      <c r="AE125" s="1">
        <v>142.76</v>
      </c>
      <c r="AF125" s="1">
        <v>150.21999999999997</v>
      </c>
      <c r="AG125" s="1">
        <f t="shared" si="8"/>
        <v>1945.56</v>
      </c>
      <c r="AH125" s="1">
        <f t="shared" si="9"/>
        <v>169.22000000000003</v>
      </c>
      <c r="AI125" s="1">
        <f t="shared" si="10"/>
        <v>438.8</v>
      </c>
      <c r="AJ125" s="1">
        <f t="shared" si="11"/>
        <v>153.16666666666666</v>
      </c>
      <c r="AK125" s="1">
        <f t="shared" si="12"/>
        <v>142.54000000000002</v>
      </c>
      <c r="AL125" s="1">
        <f t="shared" si="13"/>
        <v>1009.38</v>
      </c>
    </row>
    <row r="126" spans="1:38" x14ac:dyDescent="0.3">
      <c r="A126" t="s">
        <v>30</v>
      </c>
      <c r="B126" s="1">
        <v>2019</v>
      </c>
      <c r="C126" t="s">
        <v>43</v>
      </c>
      <c r="D126" t="str">
        <f t="shared" si="7"/>
        <v>2019-December</v>
      </c>
      <c r="E126" s="1">
        <v>12</v>
      </c>
      <c r="F126" s="1">
        <v>144.4</v>
      </c>
      <c r="G126" s="1">
        <v>166.36</v>
      </c>
      <c r="H126" s="1">
        <v>154.04</v>
      </c>
      <c r="I126" s="1">
        <v>149.13999999999999</v>
      </c>
      <c r="J126" s="1">
        <v>127.32</v>
      </c>
      <c r="K126" s="1">
        <v>144.54</v>
      </c>
      <c r="L126" s="1">
        <v>208.96</v>
      </c>
      <c r="M126" s="1">
        <v>139.22</v>
      </c>
      <c r="N126" s="1">
        <v>114.28</v>
      </c>
      <c r="O126" s="1">
        <v>149.73999999999998</v>
      </c>
      <c r="P126" s="1">
        <v>134.69999999999999</v>
      </c>
      <c r="Q126" s="1">
        <v>158.30000000000001</v>
      </c>
      <c r="R126" s="1">
        <v>154.44</v>
      </c>
      <c r="S126" s="1">
        <v>169.5</v>
      </c>
      <c r="T126" s="1">
        <v>149.48000000000002</v>
      </c>
      <c r="U126" s="1">
        <v>139.24</v>
      </c>
      <c r="V126" s="1">
        <v>147.95999999999998</v>
      </c>
      <c r="W126" s="1">
        <v>153.35</v>
      </c>
      <c r="X126" s="1">
        <v>141.47999999999999</v>
      </c>
      <c r="Y126" s="1">
        <v>144.71999999999997</v>
      </c>
      <c r="Z126" s="1">
        <v>148.85999999999999</v>
      </c>
      <c r="AA126" s="1">
        <v>129.66</v>
      </c>
      <c r="AB126" s="1">
        <v>141.84</v>
      </c>
      <c r="AC126" s="1">
        <v>155.5</v>
      </c>
      <c r="AD126" s="1">
        <v>141.5</v>
      </c>
      <c r="AE126" s="1">
        <v>142.01999999999998</v>
      </c>
      <c r="AF126" s="1">
        <v>149.80000000000001</v>
      </c>
      <c r="AG126" s="1">
        <f t="shared" si="8"/>
        <v>1945.44</v>
      </c>
      <c r="AH126" s="1">
        <f t="shared" si="9"/>
        <v>169.5</v>
      </c>
      <c r="AI126" s="1">
        <f t="shared" si="10"/>
        <v>436.68</v>
      </c>
      <c r="AJ126" s="1">
        <f t="shared" si="11"/>
        <v>153.35</v>
      </c>
      <c r="AK126" s="1">
        <f t="shared" si="12"/>
        <v>141.47999999999999</v>
      </c>
      <c r="AL126" s="1">
        <f t="shared" si="13"/>
        <v>1004.0999999999999</v>
      </c>
    </row>
    <row r="127" spans="1:38" x14ac:dyDescent="0.3">
      <c r="A127" t="s">
        <v>31</v>
      </c>
      <c r="B127" s="1">
        <v>2019</v>
      </c>
      <c r="C127" t="s">
        <v>43</v>
      </c>
      <c r="D127" t="str">
        <f t="shared" si="7"/>
        <v>2019-December</v>
      </c>
      <c r="E127" s="1">
        <v>12</v>
      </c>
      <c r="F127" s="1">
        <v>144.26</v>
      </c>
      <c r="G127" s="1">
        <v>166.96</v>
      </c>
      <c r="H127" s="1">
        <v>153.47999999999999</v>
      </c>
      <c r="I127" s="1">
        <v>149.82</v>
      </c>
      <c r="J127" s="1">
        <v>129.52000000000001</v>
      </c>
      <c r="K127" s="1">
        <v>143.24</v>
      </c>
      <c r="L127" s="1">
        <v>195.68</v>
      </c>
      <c r="M127" s="1">
        <v>140.13999999999999</v>
      </c>
      <c r="N127" s="1">
        <v>113.96</v>
      </c>
      <c r="O127" s="1">
        <v>150.69999999999999</v>
      </c>
      <c r="P127" s="1">
        <v>136.56</v>
      </c>
      <c r="Q127" s="1">
        <v>158.6</v>
      </c>
      <c r="R127" s="1">
        <v>153.14000000000001</v>
      </c>
      <c r="S127" s="1">
        <v>169.3</v>
      </c>
      <c r="T127" s="1">
        <v>150.72</v>
      </c>
      <c r="U127" s="1">
        <v>142.18</v>
      </c>
      <c r="V127" s="1">
        <v>149.5</v>
      </c>
      <c r="W127" s="1">
        <v>153.53333333333333</v>
      </c>
      <c r="X127" s="1">
        <v>145.22000000000003</v>
      </c>
      <c r="Y127" s="1">
        <v>147.11999999999998</v>
      </c>
      <c r="Z127" s="1">
        <v>151.45999999999998</v>
      </c>
      <c r="AA127" s="1">
        <v>131.82</v>
      </c>
      <c r="AB127" s="1">
        <v>144.56</v>
      </c>
      <c r="AC127" s="1">
        <v>157.5</v>
      </c>
      <c r="AD127" s="1">
        <v>142.13999999999999</v>
      </c>
      <c r="AE127" s="1">
        <v>144.16</v>
      </c>
      <c r="AF127" s="1">
        <v>150.22</v>
      </c>
      <c r="AG127" s="1">
        <f t="shared" si="8"/>
        <v>1936.06</v>
      </c>
      <c r="AH127" s="1">
        <f t="shared" si="9"/>
        <v>169.3</v>
      </c>
      <c r="AI127" s="1">
        <f t="shared" si="10"/>
        <v>442.4</v>
      </c>
      <c r="AJ127" s="1">
        <f t="shared" si="11"/>
        <v>153.53333333333333</v>
      </c>
      <c r="AK127" s="1">
        <f t="shared" si="12"/>
        <v>145.22000000000003</v>
      </c>
      <c r="AL127" s="1">
        <f t="shared" si="13"/>
        <v>1018.7599999999999</v>
      </c>
    </row>
    <row r="128" spans="1:38" x14ac:dyDescent="0.3">
      <c r="A128" t="s">
        <v>28</v>
      </c>
      <c r="B128" s="1">
        <v>2019</v>
      </c>
      <c r="C128" t="s">
        <v>42</v>
      </c>
      <c r="D128" t="str">
        <f t="shared" si="7"/>
        <v>2019-November</v>
      </c>
      <c r="E128" s="1">
        <v>11</v>
      </c>
      <c r="F128" s="1">
        <v>143.22</v>
      </c>
      <c r="G128" s="1">
        <v>163.82</v>
      </c>
      <c r="H128" s="1">
        <v>148.19999999999999</v>
      </c>
      <c r="I128" s="1">
        <v>147.18</v>
      </c>
      <c r="J128" s="1">
        <v>124.4</v>
      </c>
      <c r="K128" s="1">
        <v>146.78</v>
      </c>
      <c r="L128" s="1">
        <v>209.54</v>
      </c>
      <c r="M128" s="1">
        <v>136.5</v>
      </c>
      <c r="N128" s="1">
        <v>114.26</v>
      </c>
      <c r="O128" s="1">
        <v>147.54000000000002</v>
      </c>
      <c r="P128" s="1">
        <v>134.91999999999999</v>
      </c>
      <c r="Q128" s="1">
        <v>157.68</v>
      </c>
      <c r="R128" s="1">
        <v>153.4</v>
      </c>
      <c r="S128" s="1">
        <v>168.64</v>
      </c>
      <c r="T128" s="1">
        <v>149.58000000000001</v>
      </c>
      <c r="U128" s="1">
        <v>140.14000000000001</v>
      </c>
      <c r="V128" s="1">
        <v>148.16</v>
      </c>
      <c r="W128" s="1">
        <v>153.26666666666668</v>
      </c>
      <c r="X128" s="1">
        <v>141.28000000000003</v>
      </c>
      <c r="Y128" s="1">
        <v>145.26</v>
      </c>
      <c r="Z128" s="1">
        <v>149</v>
      </c>
      <c r="AA128" s="1">
        <v>128.12</v>
      </c>
      <c r="AB128" s="1">
        <v>142.84</v>
      </c>
      <c r="AC128" s="1">
        <v>156.22</v>
      </c>
      <c r="AD128" s="1">
        <v>140.30000000000001</v>
      </c>
      <c r="AE128" s="1">
        <v>141.69999999999999</v>
      </c>
      <c r="AF128" s="1">
        <v>149.21999999999997</v>
      </c>
      <c r="AG128" s="1">
        <f t="shared" si="8"/>
        <v>1927.44</v>
      </c>
      <c r="AH128" s="1">
        <f t="shared" si="9"/>
        <v>168.64</v>
      </c>
      <c r="AI128" s="1">
        <f t="shared" si="10"/>
        <v>437.88</v>
      </c>
      <c r="AJ128" s="1">
        <f t="shared" si="11"/>
        <v>153.26666666666668</v>
      </c>
      <c r="AK128" s="1">
        <f t="shared" si="12"/>
        <v>141.28000000000003</v>
      </c>
      <c r="AL128" s="1">
        <f t="shared" si="13"/>
        <v>1003.44</v>
      </c>
    </row>
    <row r="129" spans="1:38" x14ac:dyDescent="0.3">
      <c r="A129" t="s">
        <v>30</v>
      </c>
      <c r="B129" s="1">
        <v>2019</v>
      </c>
      <c r="C129" t="s">
        <v>42</v>
      </c>
      <c r="D129" t="str">
        <f t="shared" si="7"/>
        <v>2019-November</v>
      </c>
      <c r="E129" s="1">
        <v>11</v>
      </c>
      <c r="F129" s="1">
        <v>143.56</v>
      </c>
      <c r="G129" s="1">
        <v>164.08</v>
      </c>
      <c r="H129" s="1">
        <v>149.66</v>
      </c>
      <c r="I129" s="1">
        <v>147.41999999999999</v>
      </c>
      <c r="J129" s="1">
        <v>124.34</v>
      </c>
      <c r="K129" s="1">
        <v>146.68</v>
      </c>
      <c r="L129" s="1">
        <v>214.66</v>
      </c>
      <c r="M129" s="1">
        <v>136.91999999999999</v>
      </c>
      <c r="N129" s="1">
        <v>114.3</v>
      </c>
      <c r="O129" s="1">
        <v>147.82</v>
      </c>
      <c r="P129" s="1">
        <v>134.34</v>
      </c>
      <c r="Q129" s="1">
        <v>157.74</v>
      </c>
      <c r="R129" s="1">
        <v>154.22</v>
      </c>
      <c r="S129" s="1">
        <v>168.9</v>
      </c>
      <c r="T129" s="1">
        <v>149.18</v>
      </c>
      <c r="U129" s="1">
        <v>139</v>
      </c>
      <c r="V129" s="1">
        <v>147.66</v>
      </c>
      <c r="W129" s="1">
        <v>153.15</v>
      </c>
      <c r="X129" s="1">
        <v>140.34</v>
      </c>
      <c r="Y129" s="1">
        <v>144.24</v>
      </c>
      <c r="Z129" s="1">
        <v>148.22</v>
      </c>
      <c r="AA129" s="1">
        <v>127.66</v>
      </c>
      <c r="AB129" s="1">
        <v>141.47999999999996</v>
      </c>
      <c r="AC129" s="1">
        <v>155.19999999999999</v>
      </c>
      <c r="AD129" s="1">
        <v>140.26000000000002</v>
      </c>
      <c r="AE129" s="1">
        <v>140.98000000000002</v>
      </c>
      <c r="AF129" s="1">
        <v>149.32</v>
      </c>
      <c r="AG129" s="1">
        <f t="shared" si="8"/>
        <v>1935.74</v>
      </c>
      <c r="AH129" s="1">
        <f t="shared" si="9"/>
        <v>168.9</v>
      </c>
      <c r="AI129" s="1">
        <f t="shared" si="10"/>
        <v>435.84000000000003</v>
      </c>
      <c r="AJ129" s="1">
        <f t="shared" si="11"/>
        <v>153.15</v>
      </c>
      <c r="AK129" s="1">
        <f t="shared" si="12"/>
        <v>140.34</v>
      </c>
      <c r="AL129" s="1">
        <f t="shared" si="13"/>
        <v>998.04</v>
      </c>
    </row>
    <row r="130" spans="1:38" x14ac:dyDescent="0.3">
      <c r="A130" t="s">
        <v>31</v>
      </c>
      <c r="B130" s="1">
        <v>2019</v>
      </c>
      <c r="C130" t="s">
        <v>42</v>
      </c>
      <c r="D130" t="str">
        <f t="shared" si="7"/>
        <v>2019-November</v>
      </c>
      <c r="E130" s="1">
        <v>11</v>
      </c>
      <c r="F130" s="1">
        <v>143.47999999999999</v>
      </c>
      <c r="G130" s="1">
        <v>165.06</v>
      </c>
      <c r="H130" s="1">
        <v>150.68</v>
      </c>
      <c r="I130" s="1">
        <v>148.34</v>
      </c>
      <c r="J130" s="1">
        <v>126.44</v>
      </c>
      <c r="K130" s="1">
        <v>145.36000000000001</v>
      </c>
      <c r="L130" s="1">
        <v>209.82</v>
      </c>
      <c r="M130" s="1">
        <v>138.22</v>
      </c>
      <c r="N130" s="1">
        <v>114.06</v>
      </c>
      <c r="O130" s="1">
        <v>148.88</v>
      </c>
      <c r="P130" s="1">
        <v>136.18</v>
      </c>
      <c r="Q130" s="1">
        <v>158.04000000000002</v>
      </c>
      <c r="R130" s="1">
        <v>154.1</v>
      </c>
      <c r="S130" s="1">
        <v>168.64000000000001</v>
      </c>
      <c r="T130" s="1">
        <v>150.48000000000002</v>
      </c>
      <c r="U130" s="1">
        <v>141.96</v>
      </c>
      <c r="V130" s="1">
        <v>149.24</v>
      </c>
      <c r="W130" s="1">
        <v>153.03333333333333</v>
      </c>
      <c r="X130" s="1">
        <v>143.97999999999999</v>
      </c>
      <c r="Y130" s="1">
        <v>146.76</v>
      </c>
      <c r="Z130" s="1">
        <v>150.80000000000001</v>
      </c>
      <c r="AA130" s="1">
        <v>130.58000000000001</v>
      </c>
      <c r="AB130" s="1">
        <v>144.16000000000003</v>
      </c>
      <c r="AC130" s="1">
        <v>157.18</v>
      </c>
      <c r="AD130" s="1">
        <v>140.80000000000001</v>
      </c>
      <c r="AE130" s="1">
        <v>143.33999999999997</v>
      </c>
      <c r="AF130" s="1">
        <v>150.30000000000001</v>
      </c>
      <c r="AG130" s="1">
        <f t="shared" si="8"/>
        <v>1938.66</v>
      </c>
      <c r="AH130" s="1">
        <f t="shared" si="9"/>
        <v>168.64000000000001</v>
      </c>
      <c r="AI130" s="1">
        <f t="shared" si="10"/>
        <v>441.68000000000006</v>
      </c>
      <c r="AJ130" s="1">
        <f t="shared" si="11"/>
        <v>153.03333333333333</v>
      </c>
      <c r="AK130" s="1">
        <f t="shared" si="12"/>
        <v>143.97999999999999</v>
      </c>
      <c r="AL130" s="1">
        <f t="shared" si="13"/>
        <v>1013.6199999999999</v>
      </c>
    </row>
    <row r="131" spans="1:38" x14ac:dyDescent="0.3">
      <c r="A131" t="s">
        <v>28</v>
      </c>
      <c r="B131" s="1">
        <v>2019</v>
      </c>
      <c r="C131" t="s">
        <v>40</v>
      </c>
      <c r="D131" t="str">
        <f t="shared" ref="D131:D194" si="14">CONCATENATE(B131,"-",C131)</f>
        <v>2019-October</v>
      </c>
      <c r="E131" s="1">
        <v>10</v>
      </c>
      <c r="F131" s="1">
        <v>142.44</v>
      </c>
      <c r="G131" s="1">
        <v>161.69999999999999</v>
      </c>
      <c r="H131" s="1">
        <v>144.13999999999999</v>
      </c>
      <c r="I131" s="1">
        <v>146.26</v>
      </c>
      <c r="J131" s="1">
        <v>123.62</v>
      </c>
      <c r="K131" s="1">
        <v>147.86000000000001</v>
      </c>
      <c r="L131" s="1">
        <v>196.3</v>
      </c>
      <c r="M131" s="1">
        <v>133.52000000000001</v>
      </c>
      <c r="N131" s="1">
        <v>114.24</v>
      </c>
      <c r="O131" s="1">
        <v>145.94</v>
      </c>
      <c r="P131" s="1">
        <v>134.61999999999998</v>
      </c>
      <c r="Q131" s="1">
        <v>157.24</v>
      </c>
      <c r="R131" s="1">
        <v>150.86000000000001</v>
      </c>
      <c r="S131" s="1">
        <v>167.96</v>
      </c>
      <c r="T131" s="1">
        <v>149.11999999999998</v>
      </c>
      <c r="U131" s="1">
        <v>139.90000000000003</v>
      </c>
      <c r="V131" s="1">
        <v>147.76</v>
      </c>
      <c r="W131" s="1">
        <v>153.16666666666666</v>
      </c>
      <c r="X131" s="1">
        <v>139.56</v>
      </c>
      <c r="Y131" s="1">
        <v>144.85999999999999</v>
      </c>
      <c r="Z131" s="1">
        <v>148.51999999999998</v>
      </c>
      <c r="AA131" s="1">
        <v>126.66000000000001</v>
      </c>
      <c r="AB131" s="1">
        <v>142.47999999999996</v>
      </c>
      <c r="AC131" s="1">
        <v>156.07999999999998</v>
      </c>
      <c r="AD131" s="1">
        <v>140.04000000000002</v>
      </c>
      <c r="AE131" s="1">
        <v>141.01999999999998</v>
      </c>
      <c r="AF131" s="1">
        <v>147.68</v>
      </c>
      <c r="AG131" s="1">
        <f t="shared" ref="AG131:AG194" si="15">SUM(F131:R131)</f>
        <v>1898.7399999999998</v>
      </c>
      <c r="AH131" s="1">
        <f t="shared" ref="AH131:AH194" si="16">SUM(S131)</f>
        <v>167.96</v>
      </c>
      <c r="AI131" s="1">
        <f t="shared" ref="AI131:AI194" si="17">SUM(T131:V131)</f>
        <v>436.78</v>
      </c>
      <c r="AJ131" s="1">
        <f t="shared" ref="AJ131:AJ194" si="18">SUM(W131)</f>
        <v>153.16666666666666</v>
      </c>
      <c r="AK131" s="1">
        <f t="shared" ref="AK131:AK194" si="19">SUM(X131)</f>
        <v>139.56</v>
      </c>
      <c r="AL131" s="1">
        <f t="shared" ref="AL131:AL194" si="20">SUM(Y131:AE131)</f>
        <v>999.65999999999985</v>
      </c>
    </row>
    <row r="132" spans="1:38" x14ac:dyDescent="0.3">
      <c r="A132" t="s">
        <v>30</v>
      </c>
      <c r="B132" s="1">
        <v>2019</v>
      </c>
      <c r="C132" t="s">
        <v>40</v>
      </c>
      <c r="D132" t="str">
        <f t="shared" si="14"/>
        <v>2019-October</v>
      </c>
      <c r="E132" s="1">
        <v>10</v>
      </c>
      <c r="F132" s="1">
        <v>142.74</v>
      </c>
      <c r="G132" s="1">
        <v>162.02000000000001</v>
      </c>
      <c r="H132" s="1">
        <v>145.02000000000001</v>
      </c>
      <c r="I132" s="1">
        <v>146.30000000000001</v>
      </c>
      <c r="J132" s="1">
        <v>123.36</v>
      </c>
      <c r="K132" s="1">
        <v>148.19999999999999</v>
      </c>
      <c r="L132" s="1">
        <v>200.46</v>
      </c>
      <c r="M132" s="1">
        <v>134.04</v>
      </c>
      <c r="N132" s="1">
        <v>114.36</v>
      </c>
      <c r="O132" s="1">
        <v>146.24</v>
      </c>
      <c r="P132" s="1">
        <v>133.95999999999998</v>
      </c>
      <c r="Q132" s="1">
        <v>157.26</v>
      </c>
      <c r="R132" s="1">
        <v>151.57999999999998</v>
      </c>
      <c r="S132" s="1">
        <v>168.28</v>
      </c>
      <c r="T132" s="1">
        <v>148.76000000000002</v>
      </c>
      <c r="U132" s="1">
        <v>138.76000000000002</v>
      </c>
      <c r="V132" s="1">
        <v>147.28</v>
      </c>
      <c r="W132" s="1">
        <v>153.25</v>
      </c>
      <c r="X132" s="1">
        <v>138.47999999999996</v>
      </c>
      <c r="Y132" s="1">
        <v>143.80000000000001</v>
      </c>
      <c r="Z132" s="1">
        <v>147.76000000000002</v>
      </c>
      <c r="AA132" s="1">
        <v>125.63999999999999</v>
      </c>
      <c r="AB132" s="1">
        <v>141.16000000000003</v>
      </c>
      <c r="AC132" s="1">
        <v>155.04000000000002</v>
      </c>
      <c r="AD132" s="1">
        <v>140.04000000000002</v>
      </c>
      <c r="AE132" s="1">
        <v>140.14000000000001</v>
      </c>
      <c r="AF132" s="1">
        <v>147.74</v>
      </c>
      <c r="AG132" s="1">
        <f t="shared" si="15"/>
        <v>1905.5399999999997</v>
      </c>
      <c r="AH132" s="1">
        <f t="shared" si="16"/>
        <v>168.28</v>
      </c>
      <c r="AI132" s="1">
        <f t="shared" si="17"/>
        <v>434.80000000000007</v>
      </c>
      <c r="AJ132" s="1">
        <f t="shared" si="18"/>
        <v>153.25</v>
      </c>
      <c r="AK132" s="1">
        <f t="shared" si="19"/>
        <v>138.47999999999996</v>
      </c>
      <c r="AL132" s="1">
        <f t="shared" si="20"/>
        <v>993.58</v>
      </c>
    </row>
    <row r="133" spans="1:38" x14ac:dyDescent="0.3">
      <c r="A133" t="s">
        <v>31</v>
      </c>
      <c r="B133" s="1">
        <v>2019</v>
      </c>
      <c r="C133" t="s">
        <v>40</v>
      </c>
      <c r="D133" t="str">
        <f t="shared" si="14"/>
        <v>2019-October</v>
      </c>
      <c r="E133" s="1">
        <v>10</v>
      </c>
      <c r="F133" s="1">
        <v>142.6</v>
      </c>
      <c r="G133" s="1">
        <v>163.12</v>
      </c>
      <c r="H133" s="1">
        <v>145.97999999999999</v>
      </c>
      <c r="I133" s="1">
        <v>146.91999999999999</v>
      </c>
      <c r="J133" s="1">
        <v>124.64</v>
      </c>
      <c r="K133" s="1">
        <v>146.94</v>
      </c>
      <c r="L133" s="1">
        <v>200.92</v>
      </c>
      <c r="M133" s="1">
        <v>135.56</v>
      </c>
      <c r="N133" s="1">
        <v>114.12</v>
      </c>
      <c r="O133" s="1">
        <v>147.02000000000001</v>
      </c>
      <c r="P133" s="1">
        <v>135.77999999999997</v>
      </c>
      <c r="Q133" s="1">
        <v>157.56</v>
      </c>
      <c r="R133" s="1">
        <v>152.06</v>
      </c>
      <c r="S133" s="1">
        <v>167.97999999999996</v>
      </c>
      <c r="T133" s="1">
        <v>150.10000000000002</v>
      </c>
      <c r="U133" s="1">
        <v>141.74</v>
      </c>
      <c r="V133" s="1">
        <v>148.88</v>
      </c>
      <c r="W133" s="1">
        <v>153.33333333333334</v>
      </c>
      <c r="X133" s="1">
        <v>142.68</v>
      </c>
      <c r="Y133" s="1">
        <v>146.30000000000001</v>
      </c>
      <c r="Z133" s="1">
        <v>150.24</v>
      </c>
      <c r="AA133" s="1">
        <v>128.33999999999997</v>
      </c>
      <c r="AB133" s="1">
        <v>143.82</v>
      </c>
      <c r="AC133" s="1">
        <v>156.92000000000002</v>
      </c>
      <c r="AD133" s="1">
        <v>140.26000000000002</v>
      </c>
      <c r="AE133" s="1">
        <v>142.36000000000001</v>
      </c>
      <c r="AF133" s="1">
        <v>149</v>
      </c>
      <c r="AG133" s="1">
        <f t="shared" si="15"/>
        <v>1913.22</v>
      </c>
      <c r="AH133" s="1">
        <f t="shared" si="16"/>
        <v>167.97999999999996</v>
      </c>
      <c r="AI133" s="1">
        <f t="shared" si="17"/>
        <v>440.72</v>
      </c>
      <c r="AJ133" s="1">
        <f t="shared" si="18"/>
        <v>153.33333333333334</v>
      </c>
      <c r="AK133" s="1">
        <f t="shared" si="19"/>
        <v>142.68</v>
      </c>
      <c r="AL133" s="1">
        <f t="shared" si="20"/>
        <v>1008.2400000000001</v>
      </c>
    </row>
    <row r="134" spans="1:38" x14ac:dyDescent="0.3">
      <c r="A134" t="s">
        <v>28</v>
      </c>
      <c r="B134" s="1">
        <v>2019</v>
      </c>
      <c r="C134" t="s">
        <v>39</v>
      </c>
      <c r="D134" t="str">
        <f t="shared" si="14"/>
        <v>2019-September</v>
      </c>
      <c r="E134" s="1">
        <v>9</v>
      </c>
      <c r="F134" s="1">
        <v>141.63999999999999</v>
      </c>
      <c r="G134" s="1">
        <v>160.56</v>
      </c>
      <c r="H134" s="1">
        <v>141.08000000000001</v>
      </c>
      <c r="I134" s="1">
        <v>145.62</v>
      </c>
      <c r="J134" s="1">
        <v>123.22</v>
      </c>
      <c r="K134" s="1">
        <v>147.30000000000001</v>
      </c>
      <c r="L134" s="1">
        <v>183</v>
      </c>
      <c r="M134" s="1">
        <v>131.68</v>
      </c>
      <c r="N134" s="1">
        <v>113.68</v>
      </c>
      <c r="O134" s="1">
        <v>144.56</v>
      </c>
      <c r="P134" s="1">
        <v>134.45999999999998</v>
      </c>
      <c r="Q134" s="1">
        <v>156.92000000000002</v>
      </c>
      <c r="R134" s="1">
        <v>148.44</v>
      </c>
      <c r="S134" s="1">
        <v>167.27999999999997</v>
      </c>
      <c r="T134" s="1">
        <v>148.76</v>
      </c>
      <c r="U134" s="1">
        <v>139.69999999999999</v>
      </c>
      <c r="V134" s="1">
        <v>147.42000000000002</v>
      </c>
      <c r="W134" s="1">
        <v>152.46666666666667</v>
      </c>
      <c r="X134" s="1">
        <v>137.85999999999999</v>
      </c>
      <c r="Y134" s="1">
        <v>144.5</v>
      </c>
      <c r="Z134" s="1">
        <v>148.07999999999998</v>
      </c>
      <c r="AA134" s="1">
        <v>126.41999999999999</v>
      </c>
      <c r="AB134" s="1">
        <v>142.08000000000001</v>
      </c>
      <c r="AC134" s="1">
        <v>155.87999999999997</v>
      </c>
      <c r="AD134" s="1">
        <v>139.74</v>
      </c>
      <c r="AE134" s="1">
        <v>140.69999999999999</v>
      </c>
      <c r="AF134" s="1">
        <v>146.30000000000001</v>
      </c>
      <c r="AG134" s="1">
        <f t="shared" si="15"/>
        <v>1872.1600000000003</v>
      </c>
      <c r="AH134" s="1">
        <f t="shared" si="16"/>
        <v>167.27999999999997</v>
      </c>
      <c r="AI134" s="1">
        <f t="shared" si="17"/>
        <v>435.88</v>
      </c>
      <c r="AJ134" s="1">
        <f t="shared" si="18"/>
        <v>152.46666666666667</v>
      </c>
      <c r="AK134" s="1">
        <f t="shared" si="19"/>
        <v>137.85999999999999</v>
      </c>
      <c r="AL134" s="1">
        <f t="shared" si="20"/>
        <v>997.40000000000009</v>
      </c>
    </row>
    <row r="135" spans="1:38" x14ac:dyDescent="0.3">
      <c r="A135" t="s">
        <v>30</v>
      </c>
      <c r="B135" s="1">
        <v>2019</v>
      </c>
      <c r="C135" t="s">
        <v>39</v>
      </c>
      <c r="D135" t="str">
        <f t="shared" si="14"/>
        <v>2019-September</v>
      </c>
      <c r="E135" s="1">
        <v>9</v>
      </c>
      <c r="F135" s="1">
        <v>141.97999999999999</v>
      </c>
      <c r="G135" s="1">
        <v>160.38</v>
      </c>
      <c r="H135" s="1">
        <v>141.94</v>
      </c>
      <c r="I135" s="1">
        <v>145.72</v>
      </c>
      <c r="J135" s="1">
        <v>122.98</v>
      </c>
      <c r="K135" s="1">
        <v>148.13999999999999</v>
      </c>
      <c r="L135" s="1">
        <v>188</v>
      </c>
      <c r="M135" s="1">
        <v>131.74</v>
      </c>
      <c r="N135" s="1">
        <v>113.92</v>
      </c>
      <c r="O135" s="1">
        <v>144.79999999999998</v>
      </c>
      <c r="P135" s="1">
        <v>133.78</v>
      </c>
      <c r="Q135" s="1">
        <v>156.90000000000003</v>
      </c>
      <c r="R135" s="1">
        <v>149.26000000000002</v>
      </c>
      <c r="S135" s="1">
        <v>167.56</v>
      </c>
      <c r="T135" s="1">
        <v>148.30000000000001</v>
      </c>
      <c r="U135" s="1">
        <v>138.54000000000002</v>
      </c>
      <c r="V135" s="1">
        <v>146.85999999999999</v>
      </c>
      <c r="W135" s="1">
        <v>152.6</v>
      </c>
      <c r="X135" s="1">
        <v>136.6</v>
      </c>
      <c r="Y135" s="1">
        <v>143.44</v>
      </c>
      <c r="Z135" s="1">
        <v>147.28</v>
      </c>
      <c r="AA135" s="1">
        <v>125.35999999999999</v>
      </c>
      <c r="AB135" s="1">
        <v>140.76</v>
      </c>
      <c r="AC135" s="1">
        <v>154.91999999999999</v>
      </c>
      <c r="AD135" s="1">
        <v>139.69999999999999</v>
      </c>
      <c r="AE135" s="1">
        <v>139.82</v>
      </c>
      <c r="AF135" s="1">
        <v>146.4</v>
      </c>
      <c r="AG135" s="1">
        <f t="shared" si="15"/>
        <v>1879.54</v>
      </c>
      <c r="AH135" s="1">
        <f t="shared" si="16"/>
        <v>167.56</v>
      </c>
      <c r="AI135" s="1">
        <f t="shared" si="17"/>
        <v>433.70000000000005</v>
      </c>
      <c r="AJ135" s="1">
        <f t="shared" si="18"/>
        <v>152.6</v>
      </c>
      <c r="AK135" s="1">
        <f t="shared" si="19"/>
        <v>136.6</v>
      </c>
      <c r="AL135" s="1">
        <f t="shared" si="20"/>
        <v>991.28</v>
      </c>
    </row>
    <row r="136" spans="1:38" x14ac:dyDescent="0.3">
      <c r="A136" t="s">
        <v>31</v>
      </c>
      <c r="B136" s="1">
        <v>2019</v>
      </c>
      <c r="C136" t="s">
        <v>39</v>
      </c>
      <c r="D136" t="str">
        <f t="shared" si="14"/>
        <v>2019-September</v>
      </c>
      <c r="E136" s="1">
        <v>9</v>
      </c>
      <c r="F136" s="1">
        <v>141.80000000000001</v>
      </c>
      <c r="G136" s="1">
        <v>161.38</v>
      </c>
      <c r="H136" s="1">
        <v>142.38</v>
      </c>
      <c r="I136" s="1">
        <v>146.16</v>
      </c>
      <c r="J136" s="1">
        <v>124.02</v>
      </c>
      <c r="K136" s="1">
        <v>147.41999999999999</v>
      </c>
      <c r="L136" s="1">
        <v>187.8</v>
      </c>
      <c r="M136" s="1">
        <v>132.91999999999999</v>
      </c>
      <c r="N136" s="1">
        <v>113.88</v>
      </c>
      <c r="O136" s="1">
        <v>145.5</v>
      </c>
      <c r="P136" s="1">
        <v>135.51999999999998</v>
      </c>
      <c r="Q136" s="1">
        <v>157.16</v>
      </c>
      <c r="R136" s="1">
        <v>149.54000000000002</v>
      </c>
      <c r="S136" s="1">
        <v>167.28000000000003</v>
      </c>
      <c r="T136" s="1">
        <v>149.69999999999999</v>
      </c>
      <c r="U136" s="1">
        <v>141.5</v>
      </c>
      <c r="V136" s="1">
        <v>148.5</v>
      </c>
      <c r="W136" s="1">
        <v>152.73333333333332</v>
      </c>
      <c r="X136" s="1">
        <v>140.95999999999998</v>
      </c>
      <c r="Y136" s="1">
        <v>145.95999999999998</v>
      </c>
      <c r="Z136" s="1">
        <v>149.76</v>
      </c>
      <c r="AA136" s="1">
        <v>127.53999999999999</v>
      </c>
      <c r="AB136" s="1">
        <v>143.4</v>
      </c>
      <c r="AC136" s="1">
        <v>156.76</v>
      </c>
      <c r="AD136" s="1">
        <v>140.02000000000001</v>
      </c>
      <c r="AE136" s="1">
        <v>141.9</v>
      </c>
      <c r="AF136" s="1">
        <v>147.44</v>
      </c>
      <c r="AG136" s="1">
        <f t="shared" si="15"/>
        <v>1885.4800000000002</v>
      </c>
      <c r="AH136" s="1">
        <f t="shared" si="16"/>
        <v>167.28000000000003</v>
      </c>
      <c r="AI136" s="1">
        <f t="shared" si="17"/>
        <v>439.7</v>
      </c>
      <c r="AJ136" s="1">
        <f t="shared" si="18"/>
        <v>152.73333333333332</v>
      </c>
      <c r="AK136" s="1">
        <f t="shared" si="19"/>
        <v>140.95999999999998</v>
      </c>
      <c r="AL136" s="1">
        <f t="shared" si="20"/>
        <v>1005.3399999999999</v>
      </c>
    </row>
    <row r="137" spans="1:38" x14ac:dyDescent="0.3">
      <c r="A137" t="s">
        <v>28</v>
      </c>
      <c r="B137" s="1">
        <v>2019</v>
      </c>
      <c r="C137" t="s">
        <v>38</v>
      </c>
      <c r="D137" t="str">
        <f t="shared" si="14"/>
        <v>2019-August</v>
      </c>
      <c r="E137" s="1">
        <v>8</v>
      </c>
      <c r="F137" s="1">
        <v>140.84</v>
      </c>
      <c r="G137" s="1">
        <v>160.28</v>
      </c>
      <c r="H137" s="1">
        <v>139.26</v>
      </c>
      <c r="I137" s="1">
        <v>144.96</v>
      </c>
      <c r="J137" s="1">
        <v>122.68</v>
      </c>
      <c r="K137" s="1">
        <v>148.47999999999999</v>
      </c>
      <c r="L137" s="1">
        <v>173.7</v>
      </c>
      <c r="M137" s="1">
        <v>130.94</v>
      </c>
      <c r="N137" s="1">
        <v>112.64</v>
      </c>
      <c r="O137" s="1">
        <v>143.16</v>
      </c>
      <c r="P137" s="1">
        <v>134.34</v>
      </c>
      <c r="Q137" s="1">
        <v>156.66000000000003</v>
      </c>
      <c r="R137" s="1">
        <v>146.80000000000001</v>
      </c>
      <c r="S137" s="1">
        <v>166.62</v>
      </c>
      <c r="T137" s="1">
        <v>148.57999999999998</v>
      </c>
      <c r="U137" s="1">
        <v>139.64000000000001</v>
      </c>
      <c r="V137" s="1">
        <v>147.26</v>
      </c>
      <c r="W137" s="1">
        <v>151.79999999999998</v>
      </c>
      <c r="X137" s="1">
        <v>136.78</v>
      </c>
      <c r="Y137" s="1">
        <v>144.27999999999997</v>
      </c>
      <c r="Z137" s="1">
        <v>147.6</v>
      </c>
      <c r="AA137" s="1">
        <v>126.16000000000001</v>
      </c>
      <c r="AB137" s="1">
        <v>141.69999999999999</v>
      </c>
      <c r="AC137" s="1">
        <v>155.57999999999998</v>
      </c>
      <c r="AD137" s="1">
        <v>138.84</v>
      </c>
      <c r="AE137" s="1">
        <v>140.30000000000001</v>
      </c>
      <c r="AF137" s="1">
        <v>145.26</v>
      </c>
      <c r="AG137" s="1">
        <f t="shared" si="15"/>
        <v>1854.7400000000002</v>
      </c>
      <c r="AH137" s="1">
        <f t="shared" si="16"/>
        <v>166.62</v>
      </c>
      <c r="AI137" s="1">
        <f t="shared" si="17"/>
        <v>435.48</v>
      </c>
      <c r="AJ137" s="1">
        <f t="shared" si="18"/>
        <v>151.79999999999998</v>
      </c>
      <c r="AK137" s="1">
        <f t="shared" si="19"/>
        <v>136.78</v>
      </c>
      <c r="AL137" s="1">
        <f t="shared" si="20"/>
        <v>994.46</v>
      </c>
    </row>
    <row r="138" spans="1:38" x14ac:dyDescent="0.3">
      <c r="A138" t="s">
        <v>30</v>
      </c>
      <c r="B138" s="1">
        <v>2019</v>
      </c>
      <c r="C138" t="s">
        <v>38</v>
      </c>
      <c r="D138" t="str">
        <f t="shared" si="14"/>
        <v>2019-August</v>
      </c>
      <c r="E138" s="1">
        <v>8</v>
      </c>
      <c r="F138" s="1">
        <v>141.18</v>
      </c>
      <c r="G138" s="1">
        <v>160.06</v>
      </c>
      <c r="H138" s="1">
        <v>139.76</v>
      </c>
      <c r="I138" s="1">
        <v>145.12</v>
      </c>
      <c r="J138" s="1">
        <v>122.44</v>
      </c>
      <c r="K138" s="1">
        <v>148.69999999999999</v>
      </c>
      <c r="L138" s="1">
        <v>177.1</v>
      </c>
      <c r="M138" s="1">
        <v>130.96</v>
      </c>
      <c r="N138" s="1">
        <v>112.94</v>
      </c>
      <c r="O138" s="1">
        <v>143.44</v>
      </c>
      <c r="P138" s="1">
        <v>133.64000000000001</v>
      </c>
      <c r="Q138" s="1">
        <v>156.64000000000001</v>
      </c>
      <c r="R138" s="1">
        <v>147.4</v>
      </c>
      <c r="S138" s="1">
        <v>166.9</v>
      </c>
      <c r="T138" s="1">
        <v>148.06</v>
      </c>
      <c r="U138" s="1">
        <v>138.44</v>
      </c>
      <c r="V138" s="1">
        <v>146.62</v>
      </c>
      <c r="W138" s="1">
        <v>151.89999999999998</v>
      </c>
      <c r="X138" s="1">
        <v>135.34</v>
      </c>
      <c r="Y138" s="1">
        <v>143.16000000000003</v>
      </c>
      <c r="Z138" s="1">
        <v>146.85999999999999</v>
      </c>
      <c r="AA138" s="1">
        <v>125.1</v>
      </c>
      <c r="AB138" s="1">
        <v>140.35999999999999</v>
      </c>
      <c r="AC138" s="1">
        <v>154.67999999999998</v>
      </c>
      <c r="AD138" s="1">
        <v>139.02000000000004</v>
      </c>
      <c r="AE138" s="1">
        <v>139.45999999999998</v>
      </c>
      <c r="AF138" s="1">
        <v>145.27999999999997</v>
      </c>
      <c r="AG138" s="1">
        <f t="shared" si="15"/>
        <v>1859.3800000000003</v>
      </c>
      <c r="AH138" s="1">
        <f t="shared" si="16"/>
        <v>166.9</v>
      </c>
      <c r="AI138" s="1">
        <f t="shared" si="17"/>
        <v>433.12</v>
      </c>
      <c r="AJ138" s="1">
        <f t="shared" si="18"/>
        <v>151.89999999999998</v>
      </c>
      <c r="AK138" s="1">
        <f t="shared" si="19"/>
        <v>135.34</v>
      </c>
      <c r="AL138" s="1">
        <f t="shared" si="20"/>
        <v>988.6400000000001</v>
      </c>
    </row>
    <row r="139" spans="1:38" x14ac:dyDescent="0.3">
      <c r="A139" t="s">
        <v>31</v>
      </c>
      <c r="B139" s="1">
        <v>2019</v>
      </c>
      <c r="C139" t="s">
        <v>38</v>
      </c>
      <c r="D139" t="str">
        <f t="shared" si="14"/>
        <v>2019-August</v>
      </c>
      <c r="E139" s="1">
        <v>8</v>
      </c>
      <c r="F139" s="1">
        <v>140.96</v>
      </c>
      <c r="G139" s="1">
        <v>160.72</v>
      </c>
      <c r="H139" s="1">
        <v>139.84</v>
      </c>
      <c r="I139" s="1">
        <v>145.44</v>
      </c>
      <c r="J139" s="1">
        <v>123.58</v>
      </c>
      <c r="K139" s="1">
        <v>147.06</v>
      </c>
      <c r="L139" s="1">
        <v>175.04</v>
      </c>
      <c r="M139" s="1">
        <v>131.62</v>
      </c>
      <c r="N139" s="1">
        <v>113.12</v>
      </c>
      <c r="O139" s="1">
        <v>144.04</v>
      </c>
      <c r="P139" s="1">
        <v>135.4</v>
      </c>
      <c r="Q139" s="1">
        <v>156.88</v>
      </c>
      <c r="R139" s="1">
        <v>147.24</v>
      </c>
      <c r="S139" s="1">
        <v>166.58</v>
      </c>
      <c r="T139" s="1">
        <v>149.4</v>
      </c>
      <c r="U139" s="1">
        <v>141.34</v>
      </c>
      <c r="V139" s="1">
        <v>148.22</v>
      </c>
      <c r="W139" s="1">
        <v>151.99999999999997</v>
      </c>
      <c r="X139" s="1">
        <v>139.78000000000003</v>
      </c>
      <c r="Y139" s="1">
        <v>145.66000000000003</v>
      </c>
      <c r="Z139" s="1">
        <v>149.30000000000001</v>
      </c>
      <c r="AA139" s="1">
        <v>127.27999999999997</v>
      </c>
      <c r="AB139" s="1">
        <v>143.02000000000004</v>
      </c>
      <c r="AC139" s="1">
        <v>156.52000000000004</v>
      </c>
      <c r="AD139" s="1">
        <v>139.51999999999998</v>
      </c>
      <c r="AE139" s="1">
        <v>141.54000000000002</v>
      </c>
      <c r="AF139" s="1">
        <v>146.1</v>
      </c>
      <c r="AG139" s="1">
        <f t="shared" si="15"/>
        <v>1860.9400000000003</v>
      </c>
      <c r="AH139" s="1">
        <f t="shared" si="16"/>
        <v>166.58</v>
      </c>
      <c r="AI139" s="1">
        <f t="shared" si="17"/>
        <v>438.96000000000004</v>
      </c>
      <c r="AJ139" s="1">
        <f t="shared" si="18"/>
        <v>151.99999999999997</v>
      </c>
      <c r="AK139" s="1">
        <f t="shared" si="19"/>
        <v>139.78000000000003</v>
      </c>
      <c r="AL139" s="1">
        <f t="shared" si="20"/>
        <v>1002.8399999999999</v>
      </c>
    </row>
    <row r="140" spans="1:38" x14ac:dyDescent="0.3">
      <c r="A140" t="s">
        <v>28</v>
      </c>
      <c r="B140" s="1">
        <v>2019</v>
      </c>
      <c r="C140" t="s">
        <v>37</v>
      </c>
      <c r="D140" t="str">
        <f t="shared" si="14"/>
        <v>2019-July</v>
      </c>
      <c r="E140" s="1">
        <v>7</v>
      </c>
      <c r="F140" s="1">
        <v>140.08000000000001</v>
      </c>
      <c r="G140" s="1">
        <v>161.41999999999999</v>
      </c>
      <c r="H140" s="1">
        <v>139.76</v>
      </c>
      <c r="I140" s="1">
        <v>144.30000000000001</v>
      </c>
      <c r="J140" s="1">
        <v>122.16</v>
      </c>
      <c r="K140" s="1">
        <v>150.16</v>
      </c>
      <c r="L140" s="1">
        <v>167.16</v>
      </c>
      <c r="M140" s="1">
        <v>130.16</v>
      </c>
      <c r="N140" s="1">
        <v>111.62</v>
      </c>
      <c r="O140" s="1">
        <v>142.04</v>
      </c>
      <c r="P140" s="1">
        <v>134.19999999999999</v>
      </c>
      <c r="Q140" s="1">
        <v>156.32</v>
      </c>
      <c r="R140" s="1">
        <v>145.69999999999999</v>
      </c>
      <c r="S140" s="1">
        <v>165.98</v>
      </c>
      <c r="T140" s="1">
        <v>148.4</v>
      </c>
      <c r="U140" s="1">
        <v>139.56</v>
      </c>
      <c r="V140" s="1">
        <v>147.06</v>
      </c>
      <c r="W140" s="1">
        <v>150.93333333333331</v>
      </c>
      <c r="X140" s="1">
        <v>137</v>
      </c>
      <c r="Y140" s="1">
        <v>144.04</v>
      </c>
      <c r="Z140" s="1">
        <v>147.01999999999998</v>
      </c>
      <c r="AA140" s="1">
        <v>125.91999999999999</v>
      </c>
      <c r="AB140" s="1">
        <v>141.28</v>
      </c>
      <c r="AC140" s="1">
        <v>154.94</v>
      </c>
      <c r="AD140" s="1">
        <v>136.69999999999999</v>
      </c>
      <c r="AE140" s="1">
        <v>139.68</v>
      </c>
      <c r="AF140" s="1">
        <v>144.45999999999998</v>
      </c>
      <c r="AG140" s="1">
        <f t="shared" si="15"/>
        <v>1845.0800000000002</v>
      </c>
      <c r="AH140" s="1">
        <f t="shared" si="16"/>
        <v>165.98</v>
      </c>
      <c r="AI140" s="1">
        <f t="shared" si="17"/>
        <v>435.02000000000004</v>
      </c>
      <c r="AJ140" s="1">
        <f t="shared" si="18"/>
        <v>150.93333333333331</v>
      </c>
      <c r="AK140" s="1">
        <f t="shared" si="19"/>
        <v>137</v>
      </c>
      <c r="AL140" s="1">
        <f t="shared" si="20"/>
        <v>989.57999999999993</v>
      </c>
    </row>
    <row r="141" spans="1:38" x14ac:dyDescent="0.3">
      <c r="A141" t="s">
        <v>30</v>
      </c>
      <c r="B141" s="1">
        <v>2019</v>
      </c>
      <c r="C141" t="s">
        <v>37</v>
      </c>
      <c r="D141" t="str">
        <f t="shared" si="14"/>
        <v>2019-July</v>
      </c>
      <c r="E141" s="1">
        <v>7</v>
      </c>
      <c r="F141" s="1">
        <v>140.41999999999999</v>
      </c>
      <c r="G141" s="1">
        <v>160.74</v>
      </c>
      <c r="H141" s="1">
        <v>139.78</v>
      </c>
      <c r="I141" s="1">
        <v>144.46</v>
      </c>
      <c r="J141" s="1">
        <v>121.86</v>
      </c>
      <c r="K141" s="1">
        <v>150.76</v>
      </c>
      <c r="L141" s="1">
        <v>170.62</v>
      </c>
      <c r="M141" s="1">
        <v>130.22</v>
      </c>
      <c r="N141" s="1">
        <v>111.86</v>
      </c>
      <c r="O141" s="1">
        <v>142.22</v>
      </c>
      <c r="P141" s="1">
        <v>133.47999999999999</v>
      </c>
      <c r="Q141" s="1">
        <v>156.29999999999998</v>
      </c>
      <c r="R141" s="1">
        <v>146.28</v>
      </c>
      <c r="S141" s="1">
        <v>166.24</v>
      </c>
      <c r="T141" s="1">
        <v>147.90000000000003</v>
      </c>
      <c r="U141" s="1">
        <v>138.36000000000001</v>
      </c>
      <c r="V141" s="1">
        <v>146.45999999999998</v>
      </c>
      <c r="W141" s="1">
        <v>151.1</v>
      </c>
      <c r="X141" s="1">
        <v>135.34</v>
      </c>
      <c r="Y141" s="1">
        <v>142.94</v>
      </c>
      <c r="Z141" s="1">
        <v>146.28000000000003</v>
      </c>
      <c r="AA141" s="1">
        <v>124.84</v>
      </c>
      <c r="AB141" s="1">
        <v>139.95999999999998</v>
      </c>
      <c r="AC141" s="1">
        <v>154.09999999999997</v>
      </c>
      <c r="AD141" s="1">
        <v>137.16</v>
      </c>
      <c r="AE141" s="1">
        <v>138.88000000000002</v>
      </c>
      <c r="AF141" s="1">
        <v>144.47999999999999</v>
      </c>
      <c r="AG141" s="1">
        <f t="shared" si="15"/>
        <v>1848.9999999999998</v>
      </c>
      <c r="AH141" s="1">
        <f t="shared" si="16"/>
        <v>166.24</v>
      </c>
      <c r="AI141" s="1">
        <f t="shared" si="17"/>
        <v>432.72</v>
      </c>
      <c r="AJ141" s="1">
        <f t="shared" si="18"/>
        <v>151.1</v>
      </c>
      <c r="AK141" s="1">
        <f t="shared" si="19"/>
        <v>135.34</v>
      </c>
      <c r="AL141" s="1">
        <f t="shared" si="20"/>
        <v>984.15999999999985</v>
      </c>
    </row>
    <row r="142" spans="1:38" x14ac:dyDescent="0.3">
      <c r="A142" t="s">
        <v>31</v>
      </c>
      <c r="B142" s="1">
        <v>2019</v>
      </c>
      <c r="C142" t="s">
        <v>37</v>
      </c>
      <c r="D142" t="str">
        <f t="shared" si="14"/>
        <v>2019-July</v>
      </c>
      <c r="E142" s="1">
        <v>7</v>
      </c>
      <c r="F142" s="1">
        <v>140.16</v>
      </c>
      <c r="G142" s="1">
        <v>161.08000000000001</v>
      </c>
      <c r="H142" s="1">
        <v>138.94</v>
      </c>
      <c r="I142" s="1">
        <v>144.78</v>
      </c>
      <c r="J142" s="1">
        <v>123.02</v>
      </c>
      <c r="K142" s="1">
        <v>148.58000000000001</v>
      </c>
      <c r="L142" s="1">
        <v>167.28</v>
      </c>
      <c r="M142" s="1">
        <v>130.88</v>
      </c>
      <c r="N142" s="1">
        <v>112.06</v>
      </c>
      <c r="O142" s="1">
        <v>142.74</v>
      </c>
      <c r="P142" s="1">
        <v>135.28</v>
      </c>
      <c r="Q142" s="1">
        <v>156.61999999999998</v>
      </c>
      <c r="R142" s="1">
        <v>145.83999999999997</v>
      </c>
      <c r="S142" s="1">
        <v>165.94</v>
      </c>
      <c r="T142" s="1">
        <v>149.30000000000001</v>
      </c>
      <c r="U142" s="1">
        <v>141.30000000000001</v>
      </c>
      <c r="V142" s="1">
        <v>148.12</v>
      </c>
      <c r="W142" s="1">
        <v>151.26666666666665</v>
      </c>
      <c r="X142" s="1">
        <v>139.32</v>
      </c>
      <c r="Y142" s="1">
        <v>145.45999999999998</v>
      </c>
      <c r="Z142" s="1">
        <v>148.80000000000001</v>
      </c>
      <c r="AA142" s="1">
        <v>127.04</v>
      </c>
      <c r="AB142" s="1">
        <v>142.61999999999998</v>
      </c>
      <c r="AC142" s="1">
        <v>156.06</v>
      </c>
      <c r="AD142" s="1">
        <v>138.18</v>
      </c>
      <c r="AE142" s="1">
        <v>141.06</v>
      </c>
      <c r="AF142" s="1">
        <v>145.16</v>
      </c>
      <c r="AG142" s="1">
        <f t="shared" si="15"/>
        <v>1847.2599999999998</v>
      </c>
      <c r="AH142" s="1">
        <f t="shared" si="16"/>
        <v>165.94</v>
      </c>
      <c r="AI142" s="1">
        <f t="shared" si="17"/>
        <v>438.72</v>
      </c>
      <c r="AJ142" s="1">
        <f t="shared" si="18"/>
        <v>151.26666666666665</v>
      </c>
      <c r="AK142" s="1">
        <f t="shared" si="19"/>
        <v>139.32</v>
      </c>
      <c r="AL142" s="1">
        <f t="shared" si="20"/>
        <v>999.22</v>
      </c>
    </row>
    <row r="143" spans="1:38" x14ac:dyDescent="0.3">
      <c r="A143" t="s">
        <v>28</v>
      </c>
      <c r="B143" s="1">
        <v>2019</v>
      </c>
      <c r="C143" t="s">
        <v>36</v>
      </c>
      <c r="D143" t="str">
        <f t="shared" si="14"/>
        <v>2019-June</v>
      </c>
      <c r="E143" s="1">
        <v>6</v>
      </c>
      <c r="F143" s="1">
        <v>139.4</v>
      </c>
      <c r="G143" s="1">
        <v>161.88</v>
      </c>
      <c r="H143" s="1">
        <v>139.06</v>
      </c>
      <c r="I143" s="1">
        <v>143.58000000000001</v>
      </c>
      <c r="J143" s="1">
        <v>121.76</v>
      </c>
      <c r="K143" s="1">
        <v>148.41999999999999</v>
      </c>
      <c r="L143" s="1">
        <v>158.22</v>
      </c>
      <c r="M143" s="1">
        <v>128.78</v>
      </c>
      <c r="N143" s="1">
        <v>111.2</v>
      </c>
      <c r="O143" s="1">
        <v>141.06</v>
      </c>
      <c r="P143" s="1">
        <v>133.84</v>
      </c>
      <c r="Q143" s="1">
        <v>155.97999999999999</v>
      </c>
      <c r="R143" s="1">
        <v>144</v>
      </c>
      <c r="S143" s="1">
        <v>165.5</v>
      </c>
      <c r="T143" s="1">
        <v>148.12000000000003</v>
      </c>
      <c r="U143" s="1">
        <v>139.42000000000002</v>
      </c>
      <c r="V143" s="1">
        <v>146.82</v>
      </c>
      <c r="W143" s="1">
        <v>149.79999999999998</v>
      </c>
      <c r="X143" s="1">
        <v>138.66</v>
      </c>
      <c r="Y143" s="1">
        <v>143.69999999999999</v>
      </c>
      <c r="Z143" s="1">
        <v>146.47999999999996</v>
      </c>
      <c r="AA143" s="1">
        <v>125.23999999999998</v>
      </c>
      <c r="AB143" s="1">
        <v>140.56</v>
      </c>
      <c r="AC143" s="1">
        <v>153.72</v>
      </c>
      <c r="AD143" s="1">
        <v>134.80000000000001</v>
      </c>
      <c r="AE143" s="1">
        <v>138.84</v>
      </c>
      <c r="AF143" s="1">
        <v>143.35999999999999</v>
      </c>
      <c r="AG143" s="1">
        <f t="shared" si="15"/>
        <v>1827.1799999999998</v>
      </c>
      <c r="AH143" s="1">
        <f t="shared" si="16"/>
        <v>165.5</v>
      </c>
      <c r="AI143" s="1">
        <f t="shared" si="17"/>
        <v>434.36000000000007</v>
      </c>
      <c r="AJ143" s="1">
        <f t="shared" si="18"/>
        <v>149.79999999999998</v>
      </c>
      <c r="AK143" s="1">
        <f t="shared" si="19"/>
        <v>138.66</v>
      </c>
      <c r="AL143" s="1">
        <f t="shared" si="20"/>
        <v>983.34</v>
      </c>
    </row>
    <row r="144" spans="1:38" x14ac:dyDescent="0.3">
      <c r="A144" t="s">
        <v>30</v>
      </c>
      <c r="B144" s="1">
        <v>2019</v>
      </c>
      <c r="C144" t="s">
        <v>36</v>
      </c>
      <c r="D144" t="str">
        <f t="shared" si="14"/>
        <v>2019-June</v>
      </c>
      <c r="E144" s="1">
        <v>6</v>
      </c>
      <c r="F144" s="1">
        <v>139.69999999999999</v>
      </c>
      <c r="G144" s="1">
        <v>161.72</v>
      </c>
      <c r="H144" s="1">
        <v>139.82</v>
      </c>
      <c r="I144" s="1">
        <v>143.74</v>
      </c>
      <c r="J144" s="1">
        <v>121.4</v>
      </c>
      <c r="K144" s="1">
        <v>149.82</v>
      </c>
      <c r="L144" s="1">
        <v>162.16</v>
      </c>
      <c r="M144" s="1">
        <v>129.04</v>
      </c>
      <c r="N144" s="1">
        <v>111.3</v>
      </c>
      <c r="O144" s="1">
        <v>141.32</v>
      </c>
      <c r="P144" s="1">
        <v>133.18</v>
      </c>
      <c r="Q144" s="1">
        <v>155.9</v>
      </c>
      <c r="R144" s="1">
        <v>144.74</v>
      </c>
      <c r="S144" s="1">
        <v>165.7</v>
      </c>
      <c r="T144" s="1">
        <v>147.62</v>
      </c>
      <c r="U144" s="1">
        <v>138.22</v>
      </c>
      <c r="V144" s="1">
        <v>146.20000000000002</v>
      </c>
      <c r="W144" s="1">
        <v>150</v>
      </c>
      <c r="X144" s="1">
        <v>136.95999999999998</v>
      </c>
      <c r="Y144" s="1">
        <v>142.62000000000003</v>
      </c>
      <c r="Z144" s="1">
        <v>145.72</v>
      </c>
      <c r="AA144" s="1">
        <v>124.32000000000001</v>
      </c>
      <c r="AB144" s="1">
        <v>139.38</v>
      </c>
      <c r="AC144" s="1">
        <v>152.97999999999999</v>
      </c>
      <c r="AD144" s="1">
        <v>134.98000000000002</v>
      </c>
      <c r="AE144" s="1">
        <v>138.07999999999998</v>
      </c>
      <c r="AF144" s="1">
        <v>143.48000000000002</v>
      </c>
      <c r="AG144" s="1">
        <f t="shared" si="15"/>
        <v>1833.8400000000001</v>
      </c>
      <c r="AH144" s="1">
        <f t="shared" si="16"/>
        <v>165.7</v>
      </c>
      <c r="AI144" s="1">
        <f t="shared" si="17"/>
        <v>432.04000000000008</v>
      </c>
      <c r="AJ144" s="1">
        <f t="shared" si="18"/>
        <v>150</v>
      </c>
      <c r="AK144" s="1">
        <f t="shared" si="19"/>
        <v>136.95999999999998</v>
      </c>
      <c r="AL144" s="1">
        <f t="shared" si="20"/>
        <v>978.07999999999993</v>
      </c>
    </row>
    <row r="145" spans="1:38" x14ac:dyDescent="0.3">
      <c r="A145" t="s">
        <v>31</v>
      </c>
      <c r="B145" s="1">
        <v>2019</v>
      </c>
      <c r="C145" t="s">
        <v>36</v>
      </c>
      <c r="D145" t="str">
        <f t="shared" si="14"/>
        <v>2019-June</v>
      </c>
      <c r="E145" s="1">
        <v>6</v>
      </c>
      <c r="F145" s="1">
        <v>139.4</v>
      </c>
      <c r="G145" s="1">
        <v>162.18</v>
      </c>
      <c r="H145" s="1">
        <v>139.16</v>
      </c>
      <c r="I145" s="1">
        <v>143.97999999999999</v>
      </c>
      <c r="J145" s="1">
        <v>122.62</v>
      </c>
      <c r="K145" s="1">
        <v>148.74</v>
      </c>
      <c r="L145" s="1">
        <v>159.44</v>
      </c>
      <c r="M145" s="1">
        <v>129.86000000000001</v>
      </c>
      <c r="N145" s="1">
        <v>111.28</v>
      </c>
      <c r="O145" s="1">
        <v>141.66</v>
      </c>
      <c r="P145" s="1">
        <v>135.07999999999998</v>
      </c>
      <c r="Q145" s="1">
        <v>156.26000000000002</v>
      </c>
      <c r="R145" s="1">
        <v>144.41999999999999</v>
      </c>
      <c r="S145" s="1">
        <v>165.38</v>
      </c>
      <c r="T145" s="1">
        <v>149.11999999999998</v>
      </c>
      <c r="U145" s="1">
        <v>141.19999999999999</v>
      </c>
      <c r="V145" s="1">
        <v>147.94</v>
      </c>
      <c r="W145" s="1">
        <v>150.20000000000002</v>
      </c>
      <c r="X145" s="1">
        <v>140.13999999999999</v>
      </c>
      <c r="Y145" s="1">
        <v>145.18</v>
      </c>
      <c r="Z145" s="1">
        <v>148.19999999999999</v>
      </c>
      <c r="AA145" s="1">
        <v>126.67999999999999</v>
      </c>
      <c r="AB145" s="1">
        <v>142.12</v>
      </c>
      <c r="AC145" s="1">
        <v>155.14000000000001</v>
      </c>
      <c r="AD145" s="1">
        <v>136</v>
      </c>
      <c r="AE145" s="1">
        <v>140.33999999999997</v>
      </c>
      <c r="AF145" s="1">
        <v>144.19999999999999</v>
      </c>
      <c r="AG145" s="1">
        <f t="shared" si="15"/>
        <v>1834.0800000000002</v>
      </c>
      <c r="AH145" s="1">
        <f t="shared" si="16"/>
        <v>165.38</v>
      </c>
      <c r="AI145" s="1">
        <f t="shared" si="17"/>
        <v>438.25999999999993</v>
      </c>
      <c r="AJ145" s="1">
        <f t="shared" si="18"/>
        <v>150.20000000000002</v>
      </c>
      <c r="AK145" s="1">
        <f t="shared" si="19"/>
        <v>140.13999999999999</v>
      </c>
      <c r="AL145" s="1">
        <f t="shared" si="20"/>
        <v>993.66000000000008</v>
      </c>
    </row>
    <row r="146" spans="1:38" x14ac:dyDescent="0.3">
      <c r="A146" t="s">
        <v>28</v>
      </c>
      <c r="B146" s="1">
        <v>2019</v>
      </c>
      <c r="C146" t="s">
        <v>35</v>
      </c>
      <c r="D146" t="str">
        <f t="shared" si="14"/>
        <v>2019-May</v>
      </c>
      <c r="E146" s="1">
        <v>5</v>
      </c>
      <c r="F146" s="1">
        <v>138.91999999999999</v>
      </c>
      <c r="G146" s="1">
        <v>159.56</v>
      </c>
      <c r="H146" s="1">
        <v>137.08000000000001</v>
      </c>
      <c r="I146" s="1">
        <v>142.82</v>
      </c>
      <c r="J146" s="1">
        <v>121.5</v>
      </c>
      <c r="K146" s="1">
        <v>146.82</v>
      </c>
      <c r="L146" s="1">
        <v>149.68</v>
      </c>
      <c r="M146" s="1">
        <v>126.1</v>
      </c>
      <c r="N146" s="1">
        <v>110.56</v>
      </c>
      <c r="O146" s="1">
        <v>140.32</v>
      </c>
      <c r="P146" s="1">
        <v>133.52000000000001</v>
      </c>
      <c r="Q146" s="1">
        <v>155.62</v>
      </c>
      <c r="R146" s="1">
        <v>142.1</v>
      </c>
      <c r="S146" s="1">
        <v>164.9</v>
      </c>
      <c r="T146" s="1">
        <v>147.88000000000002</v>
      </c>
      <c r="U146" s="1">
        <v>139.37999999999997</v>
      </c>
      <c r="V146" s="1">
        <v>146.66</v>
      </c>
      <c r="W146" s="1">
        <v>149.86666666666667</v>
      </c>
      <c r="X146" s="1">
        <v>138.98000000000002</v>
      </c>
      <c r="Y146" s="1">
        <v>143.47999999999999</v>
      </c>
      <c r="Z146" s="1">
        <v>146</v>
      </c>
      <c r="AA146" s="1">
        <v>125</v>
      </c>
      <c r="AB146" s="1">
        <v>139.95999999999998</v>
      </c>
      <c r="AC146" s="1">
        <v>152.57999999999998</v>
      </c>
      <c r="AD146" s="1">
        <v>133.68</v>
      </c>
      <c r="AE146" s="1">
        <v>138.26000000000002</v>
      </c>
      <c r="AF146" s="1">
        <v>142.32</v>
      </c>
      <c r="AG146" s="1">
        <f t="shared" si="15"/>
        <v>1804.6</v>
      </c>
      <c r="AH146" s="1">
        <f t="shared" si="16"/>
        <v>164.9</v>
      </c>
      <c r="AI146" s="1">
        <f t="shared" si="17"/>
        <v>433.91999999999996</v>
      </c>
      <c r="AJ146" s="1">
        <f t="shared" si="18"/>
        <v>149.86666666666667</v>
      </c>
      <c r="AK146" s="1">
        <f t="shared" si="19"/>
        <v>138.98000000000002</v>
      </c>
      <c r="AL146" s="1">
        <f t="shared" si="20"/>
        <v>978.96</v>
      </c>
    </row>
    <row r="147" spans="1:38" x14ac:dyDescent="0.3">
      <c r="A147" t="s">
        <v>30</v>
      </c>
      <c r="B147" s="1">
        <v>2019</v>
      </c>
      <c r="C147" t="s">
        <v>35</v>
      </c>
      <c r="D147" t="str">
        <f t="shared" si="14"/>
        <v>2019-May</v>
      </c>
      <c r="E147" s="1">
        <v>5</v>
      </c>
      <c r="F147" s="1">
        <v>139.18</v>
      </c>
      <c r="G147" s="1">
        <v>160.08000000000001</v>
      </c>
      <c r="H147" s="1">
        <v>137.74</v>
      </c>
      <c r="I147" s="1">
        <v>142.96</v>
      </c>
      <c r="J147" s="1">
        <v>121.14</v>
      </c>
      <c r="K147" s="1">
        <v>147.44</v>
      </c>
      <c r="L147" s="1">
        <v>153.1</v>
      </c>
      <c r="M147" s="1">
        <v>126.74</v>
      </c>
      <c r="N147" s="1">
        <v>110.9</v>
      </c>
      <c r="O147" s="1">
        <v>140.57999999999998</v>
      </c>
      <c r="P147" s="1">
        <v>132.82</v>
      </c>
      <c r="Q147" s="1">
        <v>155.52000000000001</v>
      </c>
      <c r="R147" s="1">
        <v>142.80000000000001</v>
      </c>
      <c r="S147" s="1">
        <v>165.21999999999997</v>
      </c>
      <c r="T147" s="1">
        <v>147.33999999999997</v>
      </c>
      <c r="U147" s="1">
        <v>138.13999999999999</v>
      </c>
      <c r="V147" s="1">
        <v>146</v>
      </c>
      <c r="W147" s="1">
        <v>149.75</v>
      </c>
      <c r="X147" s="1">
        <v>137.84</v>
      </c>
      <c r="Y147" s="1">
        <v>142.34</v>
      </c>
      <c r="Z147" s="1">
        <v>145.22</v>
      </c>
      <c r="AA147" s="1">
        <v>123.88</v>
      </c>
      <c r="AB147" s="1">
        <v>138.70000000000002</v>
      </c>
      <c r="AC147" s="1">
        <v>151.74</v>
      </c>
      <c r="AD147" s="1">
        <v>133.76</v>
      </c>
      <c r="AE147" s="1">
        <v>137.4</v>
      </c>
      <c r="AF147" s="1">
        <v>142.42000000000002</v>
      </c>
      <c r="AG147" s="1">
        <f t="shared" si="15"/>
        <v>1810.9999999999998</v>
      </c>
      <c r="AH147" s="1">
        <f t="shared" si="16"/>
        <v>165.21999999999997</v>
      </c>
      <c r="AI147" s="1">
        <f t="shared" si="17"/>
        <v>431.47999999999996</v>
      </c>
      <c r="AJ147" s="1">
        <f t="shared" si="18"/>
        <v>149.75</v>
      </c>
      <c r="AK147" s="1">
        <f t="shared" si="19"/>
        <v>137.84</v>
      </c>
      <c r="AL147" s="1">
        <f t="shared" si="20"/>
        <v>973.04</v>
      </c>
    </row>
    <row r="148" spans="1:38" x14ac:dyDescent="0.3">
      <c r="A148" t="s">
        <v>31</v>
      </c>
      <c r="B148" s="1">
        <v>2019</v>
      </c>
      <c r="C148" t="s">
        <v>35</v>
      </c>
      <c r="D148" t="str">
        <f t="shared" si="14"/>
        <v>2019-May</v>
      </c>
      <c r="E148" s="1">
        <v>5</v>
      </c>
      <c r="F148" s="1">
        <v>138.78</v>
      </c>
      <c r="G148" s="1">
        <v>161.54</v>
      </c>
      <c r="H148" s="1">
        <v>137.76</v>
      </c>
      <c r="I148" s="1">
        <v>143.26</v>
      </c>
      <c r="J148" s="1">
        <v>122.3</v>
      </c>
      <c r="K148" s="1">
        <v>146.78</v>
      </c>
      <c r="L148" s="1">
        <v>150.80000000000001</v>
      </c>
      <c r="M148" s="1">
        <v>127.98</v>
      </c>
      <c r="N148" s="1">
        <v>110.82</v>
      </c>
      <c r="O148" s="1">
        <v>140.71999999999997</v>
      </c>
      <c r="P148" s="1">
        <v>134.74</v>
      </c>
      <c r="Q148" s="1">
        <v>155.95999999999998</v>
      </c>
      <c r="R148" s="1">
        <v>142.64000000000001</v>
      </c>
      <c r="S148" s="1">
        <v>164.88</v>
      </c>
      <c r="T148" s="1">
        <v>148.86000000000001</v>
      </c>
      <c r="U148" s="1">
        <v>141.12</v>
      </c>
      <c r="V148" s="1">
        <v>147.73999999999998</v>
      </c>
      <c r="W148" s="1">
        <v>149.63333333333333</v>
      </c>
      <c r="X148" s="1">
        <v>141.32</v>
      </c>
      <c r="Y148" s="1">
        <v>144.9</v>
      </c>
      <c r="Z148" s="1">
        <v>147.69999999999999</v>
      </c>
      <c r="AA148" s="1">
        <v>126.1</v>
      </c>
      <c r="AB148" s="1">
        <v>141.4</v>
      </c>
      <c r="AC148" s="1">
        <v>153.95999999999998</v>
      </c>
      <c r="AD148" s="1">
        <v>134.46</v>
      </c>
      <c r="AE148" s="1">
        <v>139.58000000000001</v>
      </c>
      <c r="AF148" s="1">
        <v>143.1</v>
      </c>
      <c r="AG148" s="1">
        <f t="shared" si="15"/>
        <v>1814.08</v>
      </c>
      <c r="AH148" s="1">
        <f t="shared" si="16"/>
        <v>164.88</v>
      </c>
      <c r="AI148" s="1">
        <f t="shared" si="17"/>
        <v>437.72</v>
      </c>
      <c r="AJ148" s="1">
        <f t="shared" si="18"/>
        <v>149.63333333333333</v>
      </c>
      <c r="AK148" s="1">
        <f t="shared" si="19"/>
        <v>141.32</v>
      </c>
      <c r="AL148" s="1">
        <f t="shared" si="20"/>
        <v>988.1</v>
      </c>
    </row>
    <row r="149" spans="1:38" x14ac:dyDescent="0.3">
      <c r="A149" t="s">
        <v>28</v>
      </c>
      <c r="B149" s="1">
        <v>2019</v>
      </c>
      <c r="C149" t="s">
        <v>33</v>
      </c>
      <c r="D149" t="str">
        <f t="shared" si="14"/>
        <v>2019-March</v>
      </c>
      <c r="E149" s="1">
        <v>3</v>
      </c>
      <c r="F149" s="1">
        <v>138.44</v>
      </c>
      <c r="G149" s="1">
        <v>154.88</v>
      </c>
      <c r="H149" s="1">
        <v>138.94</v>
      </c>
      <c r="I149" s="1">
        <v>142.34</v>
      </c>
      <c r="J149" s="1">
        <v>121.42</v>
      </c>
      <c r="K149" s="1">
        <v>141.30000000000001</v>
      </c>
      <c r="L149" s="1">
        <v>139.4</v>
      </c>
      <c r="M149" s="1">
        <v>122.86</v>
      </c>
      <c r="N149" s="1">
        <v>109.64</v>
      </c>
      <c r="O149" s="1">
        <v>139.88000000000002</v>
      </c>
      <c r="P149" s="1">
        <v>133.23999999999998</v>
      </c>
      <c r="Q149" s="1">
        <v>155.28</v>
      </c>
      <c r="R149" s="1">
        <v>139.6</v>
      </c>
      <c r="S149" s="1">
        <v>164.24</v>
      </c>
      <c r="T149" s="1">
        <v>147.5</v>
      </c>
      <c r="U149" s="1">
        <v>139.1</v>
      </c>
      <c r="V149" s="1">
        <v>146.26</v>
      </c>
      <c r="W149" s="1">
        <v>149.36666666666667</v>
      </c>
      <c r="X149" s="1">
        <v>138.24</v>
      </c>
      <c r="Y149" s="1">
        <v>143.45999999999998</v>
      </c>
      <c r="Z149" s="1">
        <v>145.38000000000002</v>
      </c>
      <c r="AA149" s="1">
        <v>124.93999999999998</v>
      </c>
      <c r="AB149" s="1">
        <v>138.88</v>
      </c>
      <c r="AC149" s="1">
        <v>151.44</v>
      </c>
      <c r="AD149" s="1">
        <v>133.28</v>
      </c>
      <c r="AE149" s="1">
        <v>137.82000000000002</v>
      </c>
      <c r="AF149" s="1">
        <v>141</v>
      </c>
      <c r="AG149" s="1">
        <f t="shared" si="15"/>
        <v>1777.22</v>
      </c>
      <c r="AH149" s="1">
        <f t="shared" si="16"/>
        <v>164.24</v>
      </c>
      <c r="AI149" s="1">
        <f t="shared" si="17"/>
        <v>432.86</v>
      </c>
      <c r="AJ149" s="1">
        <f t="shared" si="18"/>
        <v>149.36666666666667</v>
      </c>
      <c r="AK149" s="1">
        <f t="shared" si="19"/>
        <v>138.24</v>
      </c>
      <c r="AL149" s="1">
        <f t="shared" si="20"/>
        <v>975.20000000000016</v>
      </c>
    </row>
    <row r="150" spans="1:38" x14ac:dyDescent="0.3">
      <c r="A150" t="s">
        <v>30</v>
      </c>
      <c r="B150" s="1">
        <v>2019</v>
      </c>
      <c r="C150" t="s">
        <v>33</v>
      </c>
      <c r="D150" t="str">
        <f t="shared" si="14"/>
        <v>2019-March</v>
      </c>
      <c r="E150" s="1">
        <v>3</v>
      </c>
      <c r="F150" s="1">
        <v>138.72</v>
      </c>
      <c r="G150" s="1">
        <v>155.76</v>
      </c>
      <c r="H150" s="1">
        <v>138.4</v>
      </c>
      <c r="I150" s="1">
        <v>142.34</v>
      </c>
      <c r="J150" s="1">
        <v>121</v>
      </c>
      <c r="K150" s="1">
        <v>143.38</v>
      </c>
      <c r="L150" s="1">
        <v>142.36000000000001</v>
      </c>
      <c r="M150" s="1">
        <v>123.38</v>
      </c>
      <c r="N150" s="1">
        <v>109.96</v>
      </c>
      <c r="O150" s="1">
        <v>140.07999999999998</v>
      </c>
      <c r="P150" s="1">
        <v>132.56</v>
      </c>
      <c r="Q150" s="1">
        <v>155.1</v>
      </c>
      <c r="R150" s="1">
        <v>140.32</v>
      </c>
      <c r="S150" s="1">
        <v>164.48</v>
      </c>
      <c r="T150" s="1">
        <v>147.02000000000001</v>
      </c>
      <c r="U150" s="1">
        <v>137.96</v>
      </c>
      <c r="V150" s="1">
        <v>145.69999999999999</v>
      </c>
      <c r="W150" s="1">
        <v>149.55000000000001</v>
      </c>
      <c r="X150" s="1">
        <v>137.01999999999998</v>
      </c>
      <c r="Y150" s="1">
        <v>142.19999999999999</v>
      </c>
      <c r="Z150" s="1">
        <v>144.68</v>
      </c>
      <c r="AA150" s="1">
        <v>123.93999999999998</v>
      </c>
      <c r="AB150" s="1">
        <v>137.95999999999998</v>
      </c>
      <c r="AC150" s="1">
        <v>150.66000000000003</v>
      </c>
      <c r="AD150" s="1">
        <v>133.16</v>
      </c>
      <c r="AE150" s="1">
        <v>136.98000000000002</v>
      </c>
      <c r="AF150" s="1">
        <v>141.16</v>
      </c>
      <c r="AG150" s="1">
        <f t="shared" si="15"/>
        <v>1783.36</v>
      </c>
      <c r="AH150" s="1">
        <f t="shared" si="16"/>
        <v>164.48</v>
      </c>
      <c r="AI150" s="1">
        <f t="shared" si="17"/>
        <v>430.68</v>
      </c>
      <c r="AJ150" s="1">
        <f t="shared" si="18"/>
        <v>149.55000000000001</v>
      </c>
      <c r="AK150" s="1">
        <f t="shared" si="19"/>
        <v>137.01999999999998</v>
      </c>
      <c r="AL150" s="1">
        <f t="shared" si="20"/>
        <v>969.58</v>
      </c>
    </row>
    <row r="151" spans="1:38" x14ac:dyDescent="0.3">
      <c r="A151" t="s">
        <v>31</v>
      </c>
      <c r="B151" s="1">
        <v>2019</v>
      </c>
      <c r="C151" t="s">
        <v>33</v>
      </c>
      <c r="D151" t="str">
        <f t="shared" si="14"/>
        <v>2019-March</v>
      </c>
      <c r="E151" s="1">
        <v>3</v>
      </c>
      <c r="F151" s="1">
        <v>138.34</v>
      </c>
      <c r="G151" s="1">
        <v>158.24</v>
      </c>
      <c r="H151" s="1">
        <v>137.06</v>
      </c>
      <c r="I151" s="1">
        <v>142.6</v>
      </c>
      <c r="J151" s="1">
        <v>122.18</v>
      </c>
      <c r="K151" s="1">
        <v>144.16</v>
      </c>
      <c r="L151" s="1">
        <v>142.24</v>
      </c>
      <c r="M151" s="1">
        <v>124.98</v>
      </c>
      <c r="N151" s="1">
        <v>110</v>
      </c>
      <c r="O151" s="1">
        <v>140.02000000000001</v>
      </c>
      <c r="P151" s="1">
        <v>134.45999999999998</v>
      </c>
      <c r="Q151" s="1">
        <v>155.64000000000001</v>
      </c>
      <c r="R151" s="1">
        <v>140.6</v>
      </c>
      <c r="S151" s="1">
        <v>164.26</v>
      </c>
      <c r="T151" s="1">
        <v>148.6</v>
      </c>
      <c r="U151" s="1">
        <v>141.02000000000001</v>
      </c>
      <c r="V151" s="1">
        <v>147.51999999999998</v>
      </c>
      <c r="W151" s="1">
        <v>149.73333333333335</v>
      </c>
      <c r="X151" s="1">
        <v>140.82</v>
      </c>
      <c r="Y151" s="1">
        <v>144.76000000000002</v>
      </c>
      <c r="Z151" s="1">
        <v>147.18</v>
      </c>
      <c r="AA151" s="1">
        <v>126</v>
      </c>
      <c r="AB151" s="1">
        <v>140.63999999999999</v>
      </c>
      <c r="AC151" s="1">
        <v>152.85999999999999</v>
      </c>
      <c r="AD151" s="1">
        <v>133.61999999999998</v>
      </c>
      <c r="AE151" s="1">
        <v>139.08000000000001</v>
      </c>
      <c r="AF151" s="1">
        <v>141.97999999999999</v>
      </c>
      <c r="AG151" s="1">
        <f t="shared" si="15"/>
        <v>1790.52</v>
      </c>
      <c r="AH151" s="1">
        <f t="shared" si="16"/>
        <v>164.26</v>
      </c>
      <c r="AI151" s="1">
        <f t="shared" si="17"/>
        <v>437.14</v>
      </c>
      <c r="AJ151" s="1">
        <f t="shared" si="18"/>
        <v>149.73333333333335</v>
      </c>
      <c r="AK151" s="1">
        <f t="shared" si="19"/>
        <v>140.82</v>
      </c>
      <c r="AL151" s="1">
        <f t="shared" si="20"/>
        <v>984.1400000000001</v>
      </c>
    </row>
    <row r="152" spans="1:38" x14ac:dyDescent="0.3">
      <c r="A152" t="s">
        <v>28</v>
      </c>
      <c r="B152" s="1">
        <v>2019</v>
      </c>
      <c r="C152" t="s">
        <v>32</v>
      </c>
      <c r="D152" t="str">
        <f t="shared" si="14"/>
        <v>2019-February</v>
      </c>
      <c r="E152" s="1">
        <v>2</v>
      </c>
      <c r="F152" s="1">
        <v>138.08000000000001</v>
      </c>
      <c r="G152" s="1">
        <v>152.06</v>
      </c>
      <c r="H152" s="1">
        <v>141.5</v>
      </c>
      <c r="I152" s="1">
        <v>142.16</v>
      </c>
      <c r="J152" s="1">
        <v>121.4</v>
      </c>
      <c r="K152" s="1">
        <v>136.94</v>
      </c>
      <c r="L152" s="1">
        <v>131.88</v>
      </c>
      <c r="M152" s="1">
        <v>121.08</v>
      </c>
      <c r="N152" s="1">
        <v>109.28</v>
      </c>
      <c r="O152" s="1">
        <v>139.85999999999999</v>
      </c>
      <c r="P152" s="1">
        <v>133.04000000000002</v>
      </c>
      <c r="Q152" s="1">
        <v>154.97999999999999</v>
      </c>
      <c r="R152" s="1">
        <v>137.92000000000002</v>
      </c>
      <c r="S152" s="1">
        <v>163.85999999999999</v>
      </c>
      <c r="T152" s="1">
        <v>147.16</v>
      </c>
      <c r="U152" s="1">
        <v>138.77999999999997</v>
      </c>
      <c r="V152" s="1">
        <v>145.9</v>
      </c>
      <c r="W152" s="1">
        <v>148.66666666666666</v>
      </c>
      <c r="X152" s="1">
        <v>137.19999999999999</v>
      </c>
      <c r="Y152" s="1">
        <v>143.44</v>
      </c>
      <c r="Z152" s="1">
        <v>144.71999999999997</v>
      </c>
      <c r="AA152" s="1">
        <v>124.41999999999999</v>
      </c>
      <c r="AB152" s="1">
        <v>137.9</v>
      </c>
      <c r="AC152" s="1">
        <v>150.92000000000002</v>
      </c>
      <c r="AD152" s="1">
        <v>133.69999999999999</v>
      </c>
      <c r="AE152" s="1">
        <v>137.44</v>
      </c>
      <c r="AF152" s="1">
        <v>140.04000000000002</v>
      </c>
      <c r="AG152" s="1">
        <f t="shared" si="15"/>
        <v>1760.1799999999998</v>
      </c>
      <c r="AH152" s="1">
        <f t="shared" si="16"/>
        <v>163.85999999999999</v>
      </c>
      <c r="AI152" s="1">
        <f t="shared" si="17"/>
        <v>431.83999999999992</v>
      </c>
      <c r="AJ152" s="1">
        <f t="shared" si="18"/>
        <v>148.66666666666666</v>
      </c>
      <c r="AK152" s="1">
        <f t="shared" si="19"/>
        <v>137.19999999999999</v>
      </c>
      <c r="AL152" s="1">
        <f t="shared" si="20"/>
        <v>972.54</v>
      </c>
    </row>
    <row r="153" spans="1:38" x14ac:dyDescent="0.3">
      <c r="A153" t="s">
        <v>30</v>
      </c>
      <c r="B153" s="1">
        <v>2019</v>
      </c>
      <c r="C153" t="s">
        <v>32</v>
      </c>
      <c r="D153" t="str">
        <f t="shared" si="14"/>
        <v>2019-February</v>
      </c>
      <c r="E153" s="1">
        <v>2</v>
      </c>
      <c r="F153" s="1">
        <v>138.28</v>
      </c>
      <c r="G153" s="1">
        <v>152.06</v>
      </c>
      <c r="H153" s="1">
        <v>141.74</v>
      </c>
      <c r="I153" s="1">
        <v>142.12</v>
      </c>
      <c r="J153" s="1">
        <v>120.98</v>
      </c>
      <c r="K153" s="1">
        <v>137.30000000000001</v>
      </c>
      <c r="L153" s="1">
        <v>132.66</v>
      </c>
      <c r="M153" s="1">
        <v>121.14</v>
      </c>
      <c r="N153" s="1">
        <v>109.42</v>
      </c>
      <c r="O153" s="1">
        <v>139.91999999999999</v>
      </c>
      <c r="P153" s="1">
        <v>132.30000000000001</v>
      </c>
      <c r="Q153" s="1">
        <v>154.77999999999997</v>
      </c>
      <c r="R153" s="1">
        <v>138.1</v>
      </c>
      <c r="S153" s="1">
        <v>164</v>
      </c>
      <c r="T153" s="1">
        <v>146.63999999999999</v>
      </c>
      <c r="U153" s="1">
        <v>137.54</v>
      </c>
      <c r="V153" s="1">
        <v>145.26</v>
      </c>
      <c r="W153" s="1">
        <v>148.75</v>
      </c>
      <c r="X153" s="1">
        <v>136.08000000000001</v>
      </c>
      <c r="Y153" s="1">
        <v>142.17999999999998</v>
      </c>
      <c r="Z153" s="1">
        <v>143.98000000000002</v>
      </c>
      <c r="AA153" s="1">
        <v>123.5</v>
      </c>
      <c r="AB153" s="1">
        <v>136.76</v>
      </c>
      <c r="AC153" s="1">
        <v>149.87999999999997</v>
      </c>
      <c r="AD153" s="1">
        <v>133.4</v>
      </c>
      <c r="AE153" s="1">
        <v>136.54000000000002</v>
      </c>
      <c r="AF153" s="1">
        <v>139.92000000000002</v>
      </c>
      <c r="AG153" s="1">
        <f t="shared" si="15"/>
        <v>1760.8</v>
      </c>
      <c r="AH153" s="1">
        <f t="shared" si="16"/>
        <v>164</v>
      </c>
      <c r="AI153" s="1">
        <f t="shared" si="17"/>
        <v>429.43999999999994</v>
      </c>
      <c r="AJ153" s="1">
        <f t="shared" si="18"/>
        <v>148.75</v>
      </c>
      <c r="AK153" s="1">
        <f t="shared" si="19"/>
        <v>136.08000000000001</v>
      </c>
      <c r="AL153" s="1">
        <f t="shared" si="20"/>
        <v>966.24</v>
      </c>
    </row>
    <row r="154" spans="1:38" x14ac:dyDescent="0.3">
      <c r="A154" t="s">
        <v>31</v>
      </c>
      <c r="B154" s="1">
        <v>2019</v>
      </c>
      <c r="C154" t="s">
        <v>32</v>
      </c>
      <c r="D154" t="str">
        <f t="shared" si="14"/>
        <v>2019-February</v>
      </c>
      <c r="E154" s="1">
        <v>2</v>
      </c>
      <c r="F154" s="1">
        <v>137.88</v>
      </c>
      <c r="G154" s="1">
        <v>153.94</v>
      </c>
      <c r="H154" s="1">
        <v>139.58000000000001</v>
      </c>
      <c r="I154" s="1">
        <v>142.30000000000001</v>
      </c>
      <c r="J154" s="1">
        <v>122.1</v>
      </c>
      <c r="K154" s="1">
        <v>138.63999999999999</v>
      </c>
      <c r="L154" s="1">
        <v>133.02000000000001</v>
      </c>
      <c r="M154" s="1">
        <v>122.18</v>
      </c>
      <c r="N154" s="1">
        <v>109.2</v>
      </c>
      <c r="O154" s="1">
        <v>139.61999999999998</v>
      </c>
      <c r="P154" s="1">
        <v>134.18</v>
      </c>
      <c r="Q154" s="1">
        <v>155.36000000000001</v>
      </c>
      <c r="R154" s="1">
        <v>138.34</v>
      </c>
      <c r="S154" s="1">
        <v>163.68</v>
      </c>
      <c r="T154" s="1">
        <v>148.24</v>
      </c>
      <c r="U154" s="1">
        <v>140.69999999999999</v>
      </c>
      <c r="V154" s="1">
        <v>147.12000000000003</v>
      </c>
      <c r="W154" s="1">
        <v>148.83333333333334</v>
      </c>
      <c r="X154" s="1">
        <v>140.04</v>
      </c>
      <c r="Y154" s="1">
        <v>144.76</v>
      </c>
      <c r="Z154" s="1">
        <v>146.54000000000002</v>
      </c>
      <c r="AA154" s="1">
        <v>125.7</v>
      </c>
      <c r="AB154" s="1">
        <v>139.49999999999997</v>
      </c>
      <c r="AC154" s="1">
        <v>151.9</v>
      </c>
      <c r="AD154" s="1">
        <v>133.57999999999998</v>
      </c>
      <c r="AE154" s="1">
        <v>138.63999999999999</v>
      </c>
      <c r="AF154" s="1">
        <v>140.68</v>
      </c>
      <c r="AG154" s="1">
        <f t="shared" si="15"/>
        <v>1766.34</v>
      </c>
      <c r="AH154" s="1">
        <f t="shared" si="16"/>
        <v>163.68</v>
      </c>
      <c r="AI154" s="1">
        <f t="shared" si="17"/>
        <v>436.06000000000006</v>
      </c>
      <c r="AJ154" s="1">
        <f t="shared" si="18"/>
        <v>148.83333333333334</v>
      </c>
      <c r="AK154" s="1">
        <f t="shared" si="19"/>
        <v>140.04</v>
      </c>
      <c r="AL154" s="1">
        <f t="shared" si="20"/>
        <v>980.62</v>
      </c>
    </row>
    <row r="155" spans="1:38" x14ac:dyDescent="0.3">
      <c r="A155" t="s">
        <v>28</v>
      </c>
      <c r="B155" s="1">
        <v>2019</v>
      </c>
      <c r="C155" t="s">
        <v>29</v>
      </c>
      <c r="D155" t="str">
        <f t="shared" si="14"/>
        <v>2019-January</v>
      </c>
      <c r="E155" s="1">
        <v>1</v>
      </c>
      <c r="F155" s="1">
        <v>137.63999999999999</v>
      </c>
      <c r="G155" s="1">
        <v>151.28</v>
      </c>
      <c r="H155" s="1">
        <v>141.26</v>
      </c>
      <c r="I155" s="1">
        <v>142.08000000000001</v>
      </c>
      <c r="J155" s="1">
        <v>121.26</v>
      </c>
      <c r="K155" s="1">
        <v>135.78</v>
      </c>
      <c r="L155" s="1">
        <v>130.76</v>
      </c>
      <c r="M155" s="1">
        <v>120.24</v>
      </c>
      <c r="N155" s="1">
        <v>109.32</v>
      </c>
      <c r="O155" s="1">
        <v>139.74</v>
      </c>
      <c r="P155" s="1">
        <v>132.82000000000002</v>
      </c>
      <c r="Q155" s="1">
        <v>154.66</v>
      </c>
      <c r="R155" s="1">
        <v>137.45999999999998</v>
      </c>
      <c r="S155" s="1">
        <v>163.66</v>
      </c>
      <c r="T155" s="1">
        <v>147</v>
      </c>
      <c r="U155" s="1">
        <v>138.28000000000003</v>
      </c>
      <c r="V155" s="1">
        <v>145.73999999999998</v>
      </c>
      <c r="W155" s="1">
        <v>147.96666666666667</v>
      </c>
      <c r="X155" s="1">
        <v>137.33999999999997</v>
      </c>
      <c r="Y155" s="1">
        <v>143.34</v>
      </c>
      <c r="Z155" s="1">
        <v>144.18</v>
      </c>
      <c r="AA155" s="1">
        <v>123.78</v>
      </c>
      <c r="AB155" s="1">
        <v>137.41999999999999</v>
      </c>
      <c r="AC155" s="1">
        <v>150.82</v>
      </c>
      <c r="AD155" s="1">
        <v>133.18</v>
      </c>
      <c r="AE155" s="1">
        <v>136.99999999999997</v>
      </c>
      <c r="AF155" s="1">
        <v>139.64000000000001</v>
      </c>
      <c r="AG155" s="1">
        <f t="shared" si="15"/>
        <v>1754.3</v>
      </c>
      <c r="AH155" s="1">
        <f t="shared" si="16"/>
        <v>163.66</v>
      </c>
      <c r="AI155" s="1">
        <f t="shared" si="17"/>
        <v>431.02</v>
      </c>
      <c r="AJ155" s="1">
        <f t="shared" si="18"/>
        <v>147.96666666666667</v>
      </c>
      <c r="AK155" s="1">
        <f t="shared" si="19"/>
        <v>137.33999999999997</v>
      </c>
      <c r="AL155" s="1">
        <f t="shared" si="20"/>
        <v>969.72</v>
      </c>
    </row>
    <row r="156" spans="1:38" x14ac:dyDescent="0.3">
      <c r="A156" t="s">
        <v>30</v>
      </c>
      <c r="B156" s="1">
        <v>2019</v>
      </c>
      <c r="C156" t="s">
        <v>29</v>
      </c>
      <c r="D156" t="str">
        <f t="shared" si="14"/>
        <v>2019-January</v>
      </c>
      <c r="E156" s="1">
        <v>1</v>
      </c>
      <c r="F156" s="1">
        <v>137.84</v>
      </c>
      <c r="G156" s="1">
        <v>151.18</v>
      </c>
      <c r="H156" s="1">
        <v>141.91999999999999</v>
      </c>
      <c r="I156" s="1">
        <v>142.04</v>
      </c>
      <c r="J156" s="1">
        <v>120.88</v>
      </c>
      <c r="K156" s="1">
        <v>135.96</v>
      </c>
      <c r="L156" s="1">
        <v>130.36000000000001</v>
      </c>
      <c r="M156" s="1">
        <v>120.18</v>
      </c>
      <c r="N156" s="1">
        <v>109.44</v>
      </c>
      <c r="O156" s="1">
        <v>139.9</v>
      </c>
      <c r="P156" s="1">
        <v>132.13999999999999</v>
      </c>
      <c r="Q156" s="1">
        <v>154.47999999999999</v>
      </c>
      <c r="R156" s="1">
        <v>137.48000000000002</v>
      </c>
      <c r="S156" s="1">
        <v>163.80000000000001</v>
      </c>
      <c r="T156" s="1">
        <v>146.42000000000002</v>
      </c>
      <c r="U156" s="1">
        <v>137.19999999999999</v>
      </c>
      <c r="V156" s="1">
        <v>145.06</v>
      </c>
      <c r="W156" s="1">
        <v>148.1</v>
      </c>
      <c r="X156" s="1">
        <v>135.78</v>
      </c>
      <c r="Y156" s="1">
        <v>142.06</v>
      </c>
      <c r="Z156" s="1">
        <v>143.38</v>
      </c>
      <c r="AA156" s="1">
        <v>122.83999999999999</v>
      </c>
      <c r="AB156" s="1">
        <v>136.26000000000002</v>
      </c>
      <c r="AC156" s="1">
        <v>149.84</v>
      </c>
      <c r="AD156" s="1">
        <v>133.30000000000001</v>
      </c>
      <c r="AE156" s="1">
        <v>136.14000000000001</v>
      </c>
      <c r="AF156" s="1">
        <v>139.42000000000002</v>
      </c>
      <c r="AG156" s="1">
        <f t="shared" si="15"/>
        <v>1753.8000000000002</v>
      </c>
      <c r="AH156" s="1">
        <f t="shared" si="16"/>
        <v>163.80000000000001</v>
      </c>
      <c r="AI156" s="1">
        <f t="shared" si="17"/>
        <v>428.68</v>
      </c>
      <c r="AJ156" s="1">
        <f t="shared" si="18"/>
        <v>148.1</v>
      </c>
      <c r="AK156" s="1">
        <f t="shared" si="19"/>
        <v>135.78</v>
      </c>
      <c r="AL156" s="1">
        <f t="shared" si="20"/>
        <v>963.82</v>
      </c>
    </row>
    <row r="157" spans="1:38" x14ac:dyDescent="0.3">
      <c r="A157" t="s">
        <v>31</v>
      </c>
      <c r="B157" s="1">
        <v>2019</v>
      </c>
      <c r="C157" t="s">
        <v>29</v>
      </c>
      <c r="D157" t="str">
        <f t="shared" si="14"/>
        <v>2019-January</v>
      </c>
      <c r="E157" s="1">
        <v>1</v>
      </c>
      <c r="F157" s="1">
        <v>137.56</v>
      </c>
      <c r="G157" s="1">
        <v>152.12</v>
      </c>
      <c r="H157" s="1">
        <v>140.96</v>
      </c>
      <c r="I157" s="1">
        <v>142.19999999999999</v>
      </c>
      <c r="J157" s="1">
        <v>122.08</v>
      </c>
      <c r="K157" s="1">
        <v>136.13999999999999</v>
      </c>
      <c r="L157" s="1">
        <v>129.9</v>
      </c>
      <c r="M157" s="1">
        <v>121</v>
      </c>
      <c r="N157" s="1">
        <v>109.02</v>
      </c>
      <c r="O157" s="1">
        <v>139.6</v>
      </c>
      <c r="P157" s="1">
        <v>134</v>
      </c>
      <c r="Q157" s="1">
        <v>155.11999999999998</v>
      </c>
      <c r="R157" s="1">
        <v>137.48000000000002</v>
      </c>
      <c r="S157" s="1">
        <v>163.44</v>
      </c>
      <c r="T157" s="1">
        <v>147.98000000000002</v>
      </c>
      <c r="U157" s="1">
        <v>140.34</v>
      </c>
      <c r="V157" s="1">
        <v>146.86000000000001</v>
      </c>
      <c r="W157" s="1">
        <v>148.23333333333332</v>
      </c>
      <c r="X157" s="1">
        <v>139.33999999999997</v>
      </c>
      <c r="Y157" s="1">
        <v>144.80000000000001</v>
      </c>
      <c r="Z157" s="1">
        <v>145.9</v>
      </c>
      <c r="AA157" s="1">
        <v>125.1</v>
      </c>
      <c r="AB157" s="1">
        <v>138.64000000000001</v>
      </c>
      <c r="AC157" s="1">
        <v>151.61999999999998</v>
      </c>
      <c r="AD157" s="1">
        <v>133.76000000000002</v>
      </c>
      <c r="AE157" s="1">
        <v>138.26</v>
      </c>
      <c r="AF157" s="1">
        <v>140.06</v>
      </c>
      <c r="AG157" s="1">
        <f t="shared" si="15"/>
        <v>1757.1799999999998</v>
      </c>
      <c r="AH157" s="1">
        <f t="shared" si="16"/>
        <v>163.44</v>
      </c>
      <c r="AI157" s="1">
        <f t="shared" si="17"/>
        <v>435.18000000000006</v>
      </c>
      <c r="AJ157" s="1">
        <f t="shared" si="18"/>
        <v>148.23333333333332</v>
      </c>
      <c r="AK157" s="1">
        <f t="shared" si="19"/>
        <v>139.33999999999997</v>
      </c>
      <c r="AL157" s="1">
        <f t="shared" si="20"/>
        <v>978.08</v>
      </c>
    </row>
    <row r="158" spans="1:38" x14ac:dyDescent="0.3">
      <c r="A158" t="s">
        <v>28</v>
      </c>
      <c r="B158" s="1">
        <v>2018</v>
      </c>
      <c r="C158" t="s">
        <v>43</v>
      </c>
      <c r="D158" t="str">
        <f t="shared" si="14"/>
        <v>2018-December</v>
      </c>
      <c r="E158" s="1">
        <v>12</v>
      </c>
      <c r="F158" s="1">
        <v>137.6</v>
      </c>
      <c r="G158" s="1">
        <v>150.41999999999999</v>
      </c>
      <c r="H158" s="1">
        <v>139.80000000000001</v>
      </c>
      <c r="I158" s="1">
        <v>142.04</v>
      </c>
      <c r="J158" s="1">
        <v>121.26</v>
      </c>
      <c r="K158" s="1">
        <v>137.76</v>
      </c>
      <c r="L158" s="1">
        <v>133.28</v>
      </c>
      <c r="M158" s="1">
        <v>119.54</v>
      </c>
      <c r="N158" s="1">
        <v>110</v>
      </c>
      <c r="O158" s="1">
        <v>140.32</v>
      </c>
      <c r="P158" s="1">
        <v>132.96</v>
      </c>
      <c r="Q158" s="1">
        <v>154.5</v>
      </c>
      <c r="R158" s="1">
        <v>137.80000000000001</v>
      </c>
      <c r="S158" s="1">
        <v>163.48000000000002</v>
      </c>
      <c r="T158" s="1">
        <v>147.19999999999999</v>
      </c>
      <c r="U158" s="1">
        <v>138.22</v>
      </c>
      <c r="V158" s="1">
        <v>145.88000000000002</v>
      </c>
      <c r="W158" s="1">
        <v>146.9</v>
      </c>
      <c r="X158" s="1">
        <v>139.78</v>
      </c>
      <c r="Y158" s="1">
        <v>143.06</v>
      </c>
      <c r="Z158" s="1">
        <v>143.84</v>
      </c>
      <c r="AA158" s="1">
        <v>123.7</v>
      </c>
      <c r="AB158" s="1">
        <v>137.32</v>
      </c>
      <c r="AC158" s="1">
        <v>150.70000000000002</v>
      </c>
      <c r="AD158" s="1">
        <v>132.28000000000003</v>
      </c>
      <c r="AE158" s="1">
        <v>136.71999999999997</v>
      </c>
      <c r="AF158" s="1">
        <v>139.80000000000001</v>
      </c>
      <c r="AG158" s="1">
        <f t="shared" si="15"/>
        <v>1757.28</v>
      </c>
      <c r="AH158" s="1">
        <f t="shared" si="16"/>
        <v>163.48000000000002</v>
      </c>
      <c r="AI158" s="1">
        <f t="shared" si="17"/>
        <v>431.29999999999995</v>
      </c>
      <c r="AJ158" s="1">
        <f t="shared" si="18"/>
        <v>146.9</v>
      </c>
      <c r="AK158" s="1">
        <f t="shared" si="19"/>
        <v>139.78</v>
      </c>
      <c r="AL158" s="1">
        <f t="shared" si="20"/>
        <v>967.62000000000012</v>
      </c>
    </row>
    <row r="159" spans="1:38" x14ac:dyDescent="0.3">
      <c r="A159" t="s">
        <v>30</v>
      </c>
      <c r="B159" s="1">
        <v>2018</v>
      </c>
      <c r="C159" t="s">
        <v>43</v>
      </c>
      <c r="D159" t="str">
        <f t="shared" si="14"/>
        <v>2018-December</v>
      </c>
      <c r="E159" s="1">
        <v>12</v>
      </c>
      <c r="F159" s="1">
        <v>137.6</v>
      </c>
      <c r="G159" s="1">
        <v>150.32</v>
      </c>
      <c r="H159" s="1">
        <v>140.36000000000001</v>
      </c>
      <c r="I159" s="1">
        <v>141.97999999999999</v>
      </c>
      <c r="J159" s="1">
        <v>120.78</v>
      </c>
      <c r="K159" s="1">
        <v>136.80000000000001</v>
      </c>
      <c r="L159" s="1">
        <v>132.22</v>
      </c>
      <c r="M159" s="1">
        <v>119.42</v>
      </c>
      <c r="N159" s="1">
        <v>109.84</v>
      </c>
      <c r="O159" s="1">
        <v>140.16</v>
      </c>
      <c r="P159" s="1">
        <v>132.06</v>
      </c>
      <c r="Q159" s="1">
        <v>154.22</v>
      </c>
      <c r="R159" s="1">
        <v>137.57999999999998</v>
      </c>
      <c r="S159" s="1">
        <v>163.64000000000001</v>
      </c>
      <c r="T159" s="1">
        <v>146.4</v>
      </c>
      <c r="U159" s="1">
        <v>136.84</v>
      </c>
      <c r="V159" s="1">
        <v>145</v>
      </c>
      <c r="W159" s="1">
        <v>147.1</v>
      </c>
      <c r="X159" s="1">
        <v>137.88</v>
      </c>
      <c r="Y159" s="1">
        <v>141.88</v>
      </c>
      <c r="Z159" s="1">
        <v>142.94000000000003</v>
      </c>
      <c r="AA159" s="1">
        <v>122.58</v>
      </c>
      <c r="AB159" s="1">
        <v>136</v>
      </c>
      <c r="AC159" s="1">
        <v>149.71999999999997</v>
      </c>
      <c r="AD159" s="1">
        <v>132.19999999999999</v>
      </c>
      <c r="AE159" s="1">
        <v>135.78</v>
      </c>
      <c r="AF159" s="1">
        <v>139.34</v>
      </c>
      <c r="AG159" s="1">
        <f t="shared" si="15"/>
        <v>1753.34</v>
      </c>
      <c r="AH159" s="1">
        <f t="shared" si="16"/>
        <v>163.64000000000001</v>
      </c>
      <c r="AI159" s="1">
        <f t="shared" si="17"/>
        <v>428.24</v>
      </c>
      <c r="AJ159" s="1">
        <f t="shared" si="18"/>
        <v>147.1</v>
      </c>
      <c r="AK159" s="1">
        <f t="shared" si="19"/>
        <v>137.88</v>
      </c>
      <c r="AL159" s="1">
        <f t="shared" si="20"/>
        <v>961.10000000000014</v>
      </c>
    </row>
    <row r="160" spans="1:38" x14ac:dyDescent="0.3">
      <c r="A160" t="s">
        <v>31</v>
      </c>
      <c r="B160" s="1">
        <v>2018</v>
      </c>
      <c r="C160" t="s">
        <v>43</v>
      </c>
      <c r="D160" t="str">
        <f t="shared" si="14"/>
        <v>2018-December</v>
      </c>
      <c r="E160" s="1">
        <v>12</v>
      </c>
      <c r="F160" s="1">
        <v>137.26</v>
      </c>
      <c r="G160" s="1">
        <v>151.36000000000001</v>
      </c>
      <c r="H160" s="1">
        <v>139.96</v>
      </c>
      <c r="I160" s="1">
        <v>142.16</v>
      </c>
      <c r="J160" s="1">
        <v>121.98</v>
      </c>
      <c r="K160" s="1">
        <v>136.26</v>
      </c>
      <c r="L160" s="1">
        <v>131.47999999999999</v>
      </c>
      <c r="M160" s="1">
        <v>120.22</v>
      </c>
      <c r="N160" s="1">
        <v>109.3</v>
      </c>
      <c r="O160" s="1">
        <v>139.69999999999999</v>
      </c>
      <c r="P160" s="1">
        <v>133.92000000000002</v>
      </c>
      <c r="Q160" s="1">
        <v>154.87999999999997</v>
      </c>
      <c r="R160" s="1">
        <v>137.5</v>
      </c>
      <c r="S160" s="1">
        <v>163.27999999999997</v>
      </c>
      <c r="T160" s="1">
        <v>147.95999999999998</v>
      </c>
      <c r="U160" s="1">
        <v>140</v>
      </c>
      <c r="V160" s="1">
        <v>146.82</v>
      </c>
      <c r="W160" s="1">
        <v>147.29999999999998</v>
      </c>
      <c r="X160" s="1">
        <v>140.45999999999998</v>
      </c>
      <c r="Y160" s="1">
        <v>144.66</v>
      </c>
      <c r="Z160" s="1">
        <v>145.45999999999998</v>
      </c>
      <c r="AA160" s="1">
        <v>124.66</v>
      </c>
      <c r="AB160" s="1">
        <v>138.33999999999997</v>
      </c>
      <c r="AC160" s="1">
        <v>151.51999999999998</v>
      </c>
      <c r="AD160" s="1">
        <v>133.02000000000001</v>
      </c>
      <c r="AE160" s="1">
        <v>137.88000000000002</v>
      </c>
      <c r="AF160" s="1">
        <v>139.94</v>
      </c>
      <c r="AG160" s="1">
        <f t="shared" si="15"/>
        <v>1755.98</v>
      </c>
      <c r="AH160" s="1">
        <f t="shared" si="16"/>
        <v>163.27999999999997</v>
      </c>
      <c r="AI160" s="1">
        <f t="shared" si="17"/>
        <v>434.78</v>
      </c>
      <c r="AJ160" s="1">
        <f t="shared" si="18"/>
        <v>147.29999999999998</v>
      </c>
      <c r="AK160" s="1">
        <f t="shared" si="19"/>
        <v>140.45999999999998</v>
      </c>
      <c r="AL160" s="1">
        <f t="shared" si="20"/>
        <v>975.53999999999985</v>
      </c>
    </row>
    <row r="161" spans="1:38" x14ac:dyDescent="0.3">
      <c r="A161" t="s">
        <v>28</v>
      </c>
      <c r="B161" s="1">
        <v>2018</v>
      </c>
      <c r="C161" t="s">
        <v>42</v>
      </c>
      <c r="D161" t="str">
        <f t="shared" si="14"/>
        <v>2018-November</v>
      </c>
      <c r="E161" s="1">
        <v>11</v>
      </c>
      <c r="F161" s="1">
        <v>137.63999999999999</v>
      </c>
      <c r="G161" s="1">
        <v>149.19999999999999</v>
      </c>
      <c r="H161" s="1">
        <v>138.02000000000001</v>
      </c>
      <c r="I161" s="1">
        <v>141.86000000000001</v>
      </c>
      <c r="J161" s="1">
        <v>120.86</v>
      </c>
      <c r="K161" s="1">
        <v>141.38</v>
      </c>
      <c r="L161" s="1">
        <v>141.68</v>
      </c>
      <c r="M161" s="1">
        <v>118.76</v>
      </c>
      <c r="N161" s="1">
        <v>111.38</v>
      </c>
      <c r="O161" s="1">
        <v>140.91999999999999</v>
      </c>
      <c r="P161" s="1">
        <v>132.97999999999999</v>
      </c>
      <c r="Q161" s="1">
        <v>154.42000000000002</v>
      </c>
      <c r="R161" s="1">
        <v>138.97999999999999</v>
      </c>
      <c r="S161" s="1">
        <v>163.18</v>
      </c>
      <c r="T161" s="1">
        <v>147.28000000000003</v>
      </c>
      <c r="U161" s="1">
        <v>138.19999999999999</v>
      </c>
      <c r="V161" s="1">
        <v>145.91999999999999</v>
      </c>
      <c r="W161" s="1">
        <v>146.76666666666668</v>
      </c>
      <c r="X161" s="1">
        <v>142.69999999999999</v>
      </c>
      <c r="Y161" s="1">
        <v>142.34</v>
      </c>
      <c r="Z161" s="1">
        <v>142.24</v>
      </c>
      <c r="AA161" s="1">
        <v>124.93999999999998</v>
      </c>
      <c r="AB161" s="1">
        <v>137.18</v>
      </c>
      <c r="AC161" s="1">
        <v>149.13999999999999</v>
      </c>
      <c r="AD161" s="1">
        <v>131.91999999999999</v>
      </c>
      <c r="AE161" s="1">
        <v>136.37999999999997</v>
      </c>
      <c r="AF161" s="1">
        <v>140.42000000000002</v>
      </c>
      <c r="AG161" s="1">
        <f t="shared" si="15"/>
        <v>1768.0800000000004</v>
      </c>
      <c r="AH161" s="1">
        <f t="shared" si="16"/>
        <v>163.18</v>
      </c>
      <c r="AI161" s="1">
        <f t="shared" si="17"/>
        <v>431.4</v>
      </c>
      <c r="AJ161" s="1">
        <f t="shared" si="18"/>
        <v>146.76666666666668</v>
      </c>
      <c r="AK161" s="1">
        <f t="shared" si="19"/>
        <v>142.69999999999999</v>
      </c>
      <c r="AL161" s="1">
        <f t="shared" si="20"/>
        <v>964.14</v>
      </c>
    </row>
    <row r="162" spans="1:38" x14ac:dyDescent="0.3">
      <c r="A162" t="s">
        <v>30</v>
      </c>
      <c r="B162" s="1">
        <v>2018</v>
      </c>
      <c r="C162" t="s">
        <v>42</v>
      </c>
      <c r="D162" t="str">
        <f t="shared" si="14"/>
        <v>2018-November</v>
      </c>
      <c r="E162" s="1">
        <v>11</v>
      </c>
      <c r="F162" s="1">
        <v>137.72</v>
      </c>
      <c r="G162" s="1">
        <v>149.13999999999999</v>
      </c>
      <c r="H162" s="1">
        <v>138.44</v>
      </c>
      <c r="I162" s="1">
        <v>141.9</v>
      </c>
      <c r="J162" s="1">
        <v>120.7</v>
      </c>
      <c r="K162" s="1">
        <v>140.47999999999999</v>
      </c>
      <c r="L162" s="1">
        <v>139.22</v>
      </c>
      <c r="M162" s="1">
        <v>118.52</v>
      </c>
      <c r="N162" s="1">
        <v>111.12</v>
      </c>
      <c r="O162" s="1">
        <v>140.92000000000002</v>
      </c>
      <c r="P162" s="1">
        <v>132.24</v>
      </c>
      <c r="Q162" s="1">
        <v>154.12</v>
      </c>
      <c r="R162" s="1">
        <v>138.61999999999998</v>
      </c>
      <c r="S162" s="1">
        <v>163.4</v>
      </c>
      <c r="T162" s="1">
        <v>146.56</v>
      </c>
      <c r="U162" s="1">
        <v>136.97999999999999</v>
      </c>
      <c r="V162" s="1">
        <v>145.11999999999998</v>
      </c>
      <c r="W162" s="1">
        <v>146.69999999999999</v>
      </c>
      <c r="X162" s="1">
        <v>141.17999999999998</v>
      </c>
      <c r="Y162" s="1">
        <v>141.38000000000002</v>
      </c>
      <c r="Z162" s="1">
        <v>142.13999999999999</v>
      </c>
      <c r="AA162" s="1">
        <v>123.6</v>
      </c>
      <c r="AB162" s="1">
        <v>135.91999999999999</v>
      </c>
      <c r="AC162" s="1">
        <v>149.12</v>
      </c>
      <c r="AD162" s="1">
        <v>131.74</v>
      </c>
      <c r="AE162" s="1">
        <v>135.71999999999997</v>
      </c>
      <c r="AF162" s="1">
        <v>139.96</v>
      </c>
      <c r="AG162" s="1">
        <f t="shared" si="15"/>
        <v>1763.1400000000003</v>
      </c>
      <c r="AH162" s="1">
        <f t="shared" si="16"/>
        <v>163.4</v>
      </c>
      <c r="AI162" s="1">
        <f t="shared" si="17"/>
        <v>428.65999999999997</v>
      </c>
      <c r="AJ162" s="1">
        <f t="shared" si="18"/>
        <v>146.69999999999999</v>
      </c>
      <c r="AK162" s="1">
        <f t="shared" si="19"/>
        <v>141.17999999999998</v>
      </c>
      <c r="AL162" s="1">
        <f t="shared" si="20"/>
        <v>959.61999999999989</v>
      </c>
    </row>
    <row r="163" spans="1:38" x14ac:dyDescent="0.3">
      <c r="A163" t="s">
        <v>31</v>
      </c>
      <c r="B163" s="1">
        <v>2018</v>
      </c>
      <c r="C163" t="s">
        <v>42</v>
      </c>
      <c r="D163" t="str">
        <f t="shared" si="14"/>
        <v>2018-November</v>
      </c>
      <c r="E163" s="1">
        <v>11</v>
      </c>
      <c r="F163" s="1">
        <v>137.41999999999999</v>
      </c>
      <c r="G163" s="1">
        <v>150.38</v>
      </c>
      <c r="H163" s="1">
        <v>138.52000000000001</v>
      </c>
      <c r="I163" s="1">
        <v>142.06</v>
      </c>
      <c r="J163" s="1">
        <v>121.86</v>
      </c>
      <c r="K163" s="1">
        <v>139.28</v>
      </c>
      <c r="L163" s="1">
        <v>136.52000000000001</v>
      </c>
      <c r="M163" s="1">
        <v>119.72</v>
      </c>
      <c r="N163" s="1">
        <v>110.3</v>
      </c>
      <c r="O163" s="1">
        <v>140.42000000000002</v>
      </c>
      <c r="P163" s="1">
        <v>134.04000000000002</v>
      </c>
      <c r="Q163" s="1">
        <v>154.76</v>
      </c>
      <c r="R163" s="1">
        <v>138.28</v>
      </c>
      <c r="S163" s="1">
        <v>163.06</v>
      </c>
      <c r="T163" s="1">
        <v>148.19999999999999</v>
      </c>
      <c r="U163" s="1">
        <v>139.96</v>
      </c>
      <c r="V163" s="1">
        <v>147</v>
      </c>
      <c r="W163" s="1">
        <v>146.63333333333333</v>
      </c>
      <c r="X163" s="1">
        <v>143.08000000000001</v>
      </c>
      <c r="Y163" s="1">
        <v>144.23999999999998</v>
      </c>
      <c r="Z163" s="1">
        <v>144.69999999999999</v>
      </c>
      <c r="AA163" s="1">
        <v>125.08</v>
      </c>
      <c r="AB163" s="1">
        <v>138.23999999999998</v>
      </c>
      <c r="AC163" s="1">
        <v>150.94</v>
      </c>
      <c r="AD163" s="1">
        <v>132.34</v>
      </c>
      <c r="AE163" s="1">
        <v>137.61999999999998</v>
      </c>
      <c r="AF163" s="1">
        <v>140.36000000000001</v>
      </c>
      <c r="AG163" s="1">
        <f t="shared" si="15"/>
        <v>1763.5599999999997</v>
      </c>
      <c r="AH163" s="1">
        <f t="shared" si="16"/>
        <v>163.06</v>
      </c>
      <c r="AI163" s="1">
        <f t="shared" si="17"/>
        <v>435.15999999999997</v>
      </c>
      <c r="AJ163" s="1">
        <f t="shared" si="18"/>
        <v>146.63333333333333</v>
      </c>
      <c r="AK163" s="1">
        <f t="shared" si="19"/>
        <v>143.08000000000001</v>
      </c>
      <c r="AL163" s="1">
        <f t="shared" si="20"/>
        <v>973.15999999999985</v>
      </c>
    </row>
    <row r="164" spans="1:38" x14ac:dyDescent="0.3">
      <c r="A164" t="s">
        <v>28</v>
      </c>
      <c r="B164" s="1">
        <v>2018</v>
      </c>
      <c r="C164" t="s">
        <v>40</v>
      </c>
      <c r="D164" t="str">
        <f t="shared" si="14"/>
        <v>2018-October</v>
      </c>
      <c r="E164" s="1">
        <v>10</v>
      </c>
      <c r="F164" s="1">
        <v>137.9</v>
      </c>
      <c r="G164" s="1">
        <v>147.82</v>
      </c>
      <c r="H164" s="1">
        <v>135.97999999999999</v>
      </c>
      <c r="I164" s="1">
        <v>141.76</v>
      </c>
      <c r="J164" s="1">
        <v>120.7</v>
      </c>
      <c r="K164" s="1">
        <v>142.38</v>
      </c>
      <c r="L164" s="1">
        <v>148</v>
      </c>
      <c r="M164" s="1">
        <v>118</v>
      </c>
      <c r="N164" s="1">
        <v>112.22</v>
      </c>
      <c r="O164" s="1">
        <v>140.72</v>
      </c>
      <c r="P164" s="1">
        <v>132.26</v>
      </c>
      <c r="Q164" s="1">
        <v>154.07999999999998</v>
      </c>
      <c r="R164" s="1">
        <v>139.68</v>
      </c>
      <c r="S164" s="1">
        <v>162.5</v>
      </c>
      <c r="T164" s="1">
        <v>146.85999999999999</v>
      </c>
      <c r="U164" s="1">
        <v>137.84</v>
      </c>
      <c r="V164" s="1">
        <v>145.52000000000001</v>
      </c>
      <c r="W164" s="1">
        <v>146.70000000000002</v>
      </c>
      <c r="X164" s="1">
        <v>143.08000000000001</v>
      </c>
      <c r="Y164" s="1">
        <v>141.71999999999997</v>
      </c>
      <c r="Z164" s="1">
        <v>141.06</v>
      </c>
      <c r="AA164" s="1">
        <v>126.22</v>
      </c>
      <c r="AB164" s="1">
        <v>136.34</v>
      </c>
      <c r="AC164" s="1">
        <v>147.52000000000001</v>
      </c>
      <c r="AD164" s="1">
        <v>132.07999999999998</v>
      </c>
      <c r="AE164" s="1">
        <v>136.18</v>
      </c>
      <c r="AF164" s="1">
        <v>140.66000000000003</v>
      </c>
      <c r="AG164" s="1">
        <f t="shared" si="15"/>
        <v>1771.5</v>
      </c>
      <c r="AH164" s="1">
        <f t="shared" si="16"/>
        <v>162.5</v>
      </c>
      <c r="AI164" s="1">
        <f t="shared" si="17"/>
        <v>430.22</v>
      </c>
      <c r="AJ164" s="1">
        <f t="shared" si="18"/>
        <v>146.70000000000002</v>
      </c>
      <c r="AK164" s="1">
        <f t="shared" si="19"/>
        <v>143.08000000000001</v>
      </c>
      <c r="AL164" s="1">
        <f t="shared" si="20"/>
        <v>961.12000000000012</v>
      </c>
    </row>
    <row r="165" spans="1:38" x14ac:dyDescent="0.3">
      <c r="A165" t="s">
        <v>30</v>
      </c>
      <c r="B165" s="1">
        <v>2018</v>
      </c>
      <c r="C165" t="s">
        <v>40</v>
      </c>
      <c r="D165" t="str">
        <f t="shared" si="14"/>
        <v>2018-October</v>
      </c>
      <c r="E165" s="1">
        <v>10</v>
      </c>
      <c r="F165" s="1">
        <v>137.52000000000001</v>
      </c>
      <c r="G165" s="1">
        <v>148.13999999999999</v>
      </c>
      <c r="H165" s="1">
        <v>136.47999999999999</v>
      </c>
      <c r="I165" s="1">
        <v>141.74</v>
      </c>
      <c r="J165" s="1">
        <v>120.22</v>
      </c>
      <c r="K165" s="1">
        <v>142.04</v>
      </c>
      <c r="L165" s="1">
        <v>147.82</v>
      </c>
      <c r="M165" s="1">
        <v>117.54</v>
      </c>
      <c r="N165" s="1">
        <v>112.14</v>
      </c>
      <c r="O165" s="1">
        <v>141</v>
      </c>
      <c r="P165" s="1">
        <v>132.04000000000002</v>
      </c>
      <c r="Q165" s="1">
        <v>153.94</v>
      </c>
      <c r="R165" s="1">
        <v>139.58000000000001</v>
      </c>
      <c r="S165" s="1">
        <v>163.1</v>
      </c>
      <c r="T165" s="1">
        <v>146.32</v>
      </c>
      <c r="U165" s="1">
        <v>136.76000000000002</v>
      </c>
      <c r="V165" s="1">
        <v>144.9</v>
      </c>
      <c r="W165" s="1">
        <v>146.75</v>
      </c>
      <c r="X165" s="1">
        <v>142.16000000000003</v>
      </c>
      <c r="Y165" s="1">
        <v>140.66</v>
      </c>
      <c r="Z165" s="1">
        <v>140.52000000000001</v>
      </c>
      <c r="AA165" s="1">
        <v>125.16</v>
      </c>
      <c r="AB165" s="1">
        <v>135.61999999999998</v>
      </c>
      <c r="AC165" s="1">
        <v>147.48000000000002</v>
      </c>
      <c r="AD165" s="1">
        <v>131.6</v>
      </c>
      <c r="AE165" s="1">
        <v>135.47999999999996</v>
      </c>
      <c r="AF165" s="1">
        <v>140.38000000000002</v>
      </c>
      <c r="AG165" s="1">
        <f t="shared" si="15"/>
        <v>1770.2</v>
      </c>
      <c r="AH165" s="1">
        <f t="shared" si="16"/>
        <v>163.1</v>
      </c>
      <c r="AI165" s="1">
        <f t="shared" si="17"/>
        <v>427.98</v>
      </c>
      <c r="AJ165" s="1">
        <f t="shared" si="18"/>
        <v>146.75</v>
      </c>
      <c r="AK165" s="1">
        <f t="shared" si="19"/>
        <v>142.16000000000003</v>
      </c>
      <c r="AL165" s="1">
        <f t="shared" si="20"/>
        <v>956.52</v>
      </c>
    </row>
    <row r="166" spans="1:38" x14ac:dyDescent="0.3">
      <c r="A166" t="s">
        <v>31</v>
      </c>
      <c r="B166" s="1">
        <v>2018</v>
      </c>
      <c r="C166" t="s">
        <v>40</v>
      </c>
      <c r="D166" t="str">
        <f t="shared" si="14"/>
        <v>2018-October</v>
      </c>
      <c r="E166" s="1">
        <v>10</v>
      </c>
      <c r="F166" s="1">
        <v>137.41999999999999</v>
      </c>
      <c r="G166" s="1">
        <v>149.54</v>
      </c>
      <c r="H166" s="1">
        <v>137.26</v>
      </c>
      <c r="I166" s="1">
        <v>141.91999999999999</v>
      </c>
      <c r="J166" s="1">
        <v>121.46</v>
      </c>
      <c r="K166" s="1">
        <v>142.18</v>
      </c>
      <c r="L166" s="1">
        <v>144.54</v>
      </c>
      <c r="M166" s="1">
        <v>119.08</v>
      </c>
      <c r="N166" s="1">
        <v>111.56</v>
      </c>
      <c r="O166" s="1">
        <v>140.82</v>
      </c>
      <c r="P166" s="1">
        <v>134.08000000000001</v>
      </c>
      <c r="Q166" s="1">
        <v>154.74</v>
      </c>
      <c r="R166" s="1">
        <v>139.4</v>
      </c>
      <c r="S166" s="1">
        <v>162.78</v>
      </c>
      <c r="T166" s="1">
        <v>148.34</v>
      </c>
      <c r="U166" s="1">
        <v>139.97999999999999</v>
      </c>
      <c r="V166" s="1">
        <v>147.11999999999998</v>
      </c>
      <c r="W166" s="1">
        <v>146.9</v>
      </c>
      <c r="X166" s="1">
        <v>145.28</v>
      </c>
      <c r="Y166" s="1">
        <v>143.54000000000002</v>
      </c>
      <c r="Z166" s="1">
        <v>143.19999999999999</v>
      </c>
      <c r="AA166" s="1">
        <v>126.28</v>
      </c>
      <c r="AB166" s="1">
        <v>138.14000000000001</v>
      </c>
      <c r="AC166" s="1">
        <v>149.40000000000003</v>
      </c>
      <c r="AD166" s="1">
        <v>132.16</v>
      </c>
      <c r="AE166" s="1">
        <v>137.30000000000001</v>
      </c>
      <c r="AF166" s="1">
        <v>140.97999999999999</v>
      </c>
      <c r="AG166" s="1">
        <f t="shared" si="15"/>
        <v>1773.9999999999998</v>
      </c>
      <c r="AH166" s="1">
        <f t="shared" si="16"/>
        <v>162.78</v>
      </c>
      <c r="AI166" s="1">
        <f t="shared" si="17"/>
        <v>435.43999999999994</v>
      </c>
      <c r="AJ166" s="1">
        <f t="shared" si="18"/>
        <v>146.9</v>
      </c>
      <c r="AK166" s="1">
        <f t="shared" si="19"/>
        <v>145.28</v>
      </c>
      <c r="AL166" s="1">
        <f t="shared" si="20"/>
        <v>970.02</v>
      </c>
    </row>
    <row r="167" spans="1:38" x14ac:dyDescent="0.3">
      <c r="A167" t="s">
        <v>28</v>
      </c>
      <c r="B167" s="1">
        <v>2018</v>
      </c>
      <c r="C167" t="s">
        <v>39</v>
      </c>
      <c r="D167" t="str">
        <f t="shared" si="14"/>
        <v>2018-September</v>
      </c>
      <c r="E167" s="1">
        <v>9</v>
      </c>
      <c r="F167" s="1">
        <v>138.38</v>
      </c>
      <c r="G167" s="1">
        <v>145.72</v>
      </c>
      <c r="H167" s="1">
        <v>134.52000000000001</v>
      </c>
      <c r="I167" s="1">
        <v>142.30000000000001</v>
      </c>
      <c r="J167" s="1">
        <v>121.2</v>
      </c>
      <c r="K167" s="1">
        <v>143.9</v>
      </c>
      <c r="L167" s="1">
        <v>150.26</v>
      </c>
      <c r="M167" s="1">
        <v>118.98</v>
      </c>
      <c r="N167" s="1">
        <v>113.1</v>
      </c>
      <c r="O167" s="1">
        <v>140</v>
      </c>
      <c r="P167" s="1">
        <v>130.76000000000002</v>
      </c>
      <c r="Q167" s="1">
        <v>153.64000000000001</v>
      </c>
      <c r="R167" s="1">
        <v>140.04</v>
      </c>
      <c r="S167" s="1">
        <v>160.76</v>
      </c>
      <c r="T167" s="1">
        <v>146.56</v>
      </c>
      <c r="U167" s="1">
        <v>137.76</v>
      </c>
      <c r="V167" s="1">
        <v>145.28000000000003</v>
      </c>
      <c r="W167" s="1">
        <v>145.63333333333335</v>
      </c>
      <c r="X167" s="1">
        <v>141.12</v>
      </c>
      <c r="Y167" s="1">
        <v>140.23999999999998</v>
      </c>
      <c r="Z167" s="1">
        <v>139.02000000000004</v>
      </c>
      <c r="AA167" s="1">
        <v>126.5</v>
      </c>
      <c r="AB167" s="1">
        <v>135.1</v>
      </c>
      <c r="AC167" s="1">
        <v>146.5</v>
      </c>
      <c r="AD167" s="1">
        <v>131.4</v>
      </c>
      <c r="AE167" s="1">
        <v>135.26</v>
      </c>
      <c r="AF167" s="1">
        <v>140.29999999999998</v>
      </c>
      <c r="AG167" s="1">
        <f t="shared" si="15"/>
        <v>1772.8</v>
      </c>
      <c r="AH167" s="1">
        <f t="shared" si="16"/>
        <v>160.76</v>
      </c>
      <c r="AI167" s="1">
        <f t="shared" si="17"/>
        <v>429.6</v>
      </c>
      <c r="AJ167" s="1">
        <f t="shared" si="18"/>
        <v>145.63333333333335</v>
      </c>
      <c r="AK167" s="1">
        <f t="shared" si="19"/>
        <v>141.12</v>
      </c>
      <c r="AL167" s="1">
        <f t="shared" si="20"/>
        <v>954.02</v>
      </c>
    </row>
    <row r="168" spans="1:38" x14ac:dyDescent="0.3">
      <c r="A168" t="s">
        <v>30</v>
      </c>
      <c r="B168" s="1">
        <v>2018</v>
      </c>
      <c r="C168" t="s">
        <v>39</v>
      </c>
      <c r="D168" t="str">
        <f t="shared" si="14"/>
        <v>2018-September</v>
      </c>
      <c r="E168" s="1">
        <v>9</v>
      </c>
      <c r="F168" s="1">
        <v>137.97999999999999</v>
      </c>
      <c r="G168" s="1">
        <v>146.18</v>
      </c>
      <c r="H168" s="1">
        <v>134.66</v>
      </c>
      <c r="I168" s="1">
        <v>141.94</v>
      </c>
      <c r="J168" s="1">
        <v>120.5</v>
      </c>
      <c r="K168" s="1">
        <v>142.38</v>
      </c>
      <c r="L168" s="1">
        <v>149.72</v>
      </c>
      <c r="M168" s="1">
        <v>117.72</v>
      </c>
      <c r="N168" s="1">
        <v>112.6</v>
      </c>
      <c r="O168" s="1">
        <v>140.45999999999998</v>
      </c>
      <c r="P168" s="1">
        <v>130.86000000000001</v>
      </c>
      <c r="Q168" s="1">
        <v>153.35999999999999</v>
      </c>
      <c r="R168" s="1">
        <v>139.71999999999997</v>
      </c>
      <c r="S168" s="1">
        <v>161.74</v>
      </c>
      <c r="T168" s="1">
        <v>145.74</v>
      </c>
      <c r="U168" s="1">
        <v>136.38000000000002</v>
      </c>
      <c r="V168" s="1">
        <v>144.38000000000002</v>
      </c>
      <c r="W168" s="1">
        <v>145.95000000000002</v>
      </c>
      <c r="X168" s="1">
        <v>140.38000000000002</v>
      </c>
      <c r="Y168" s="1">
        <v>139.88000000000002</v>
      </c>
      <c r="Z168" s="1">
        <v>139.44</v>
      </c>
      <c r="AA168" s="1">
        <v>125.62</v>
      </c>
      <c r="AB168" s="1">
        <v>134.4</v>
      </c>
      <c r="AC168" s="1">
        <v>146.54000000000002</v>
      </c>
      <c r="AD168" s="1">
        <v>131.4</v>
      </c>
      <c r="AE168" s="1">
        <v>135.04000000000002</v>
      </c>
      <c r="AF168" s="1">
        <v>140.04000000000002</v>
      </c>
      <c r="AG168" s="1">
        <f t="shared" si="15"/>
        <v>1768.08</v>
      </c>
      <c r="AH168" s="1">
        <f t="shared" si="16"/>
        <v>161.74</v>
      </c>
      <c r="AI168" s="1">
        <f t="shared" si="17"/>
        <v>426.5</v>
      </c>
      <c r="AJ168" s="1">
        <f t="shared" si="18"/>
        <v>145.95000000000002</v>
      </c>
      <c r="AK168" s="1">
        <f t="shared" si="19"/>
        <v>140.38000000000002</v>
      </c>
      <c r="AL168" s="1">
        <f t="shared" si="20"/>
        <v>952.32000000000016</v>
      </c>
    </row>
    <row r="169" spans="1:38" x14ac:dyDescent="0.3">
      <c r="A169" t="s">
        <v>31</v>
      </c>
      <c r="B169" s="1">
        <v>2018</v>
      </c>
      <c r="C169" t="s">
        <v>39</v>
      </c>
      <c r="D169" t="str">
        <f t="shared" si="14"/>
        <v>2018-September</v>
      </c>
      <c r="E169" s="1">
        <v>9</v>
      </c>
      <c r="F169" s="1">
        <v>138</v>
      </c>
      <c r="G169" s="1">
        <v>147.72</v>
      </c>
      <c r="H169" s="1">
        <v>135.44</v>
      </c>
      <c r="I169" s="1">
        <v>142.02000000000001</v>
      </c>
      <c r="J169" s="1">
        <v>121.5</v>
      </c>
      <c r="K169" s="1">
        <v>143.16</v>
      </c>
      <c r="L169" s="1">
        <v>148.96</v>
      </c>
      <c r="M169" s="1">
        <v>119.22</v>
      </c>
      <c r="N169" s="1">
        <v>112.46</v>
      </c>
      <c r="O169" s="1">
        <v>140.34</v>
      </c>
      <c r="P169" s="1">
        <v>132.82</v>
      </c>
      <c r="Q169" s="1">
        <v>154.32</v>
      </c>
      <c r="R169" s="1">
        <v>139.94</v>
      </c>
      <c r="S169" s="1">
        <v>161.45999999999998</v>
      </c>
      <c r="T169" s="1">
        <v>147.91999999999999</v>
      </c>
      <c r="U169" s="1">
        <v>139.62</v>
      </c>
      <c r="V169" s="1">
        <v>146.71999999999997</v>
      </c>
      <c r="W169" s="1">
        <v>146.16666666666666</v>
      </c>
      <c r="X169" s="1">
        <v>144.19999999999999</v>
      </c>
      <c r="Y169" s="1">
        <v>142.5</v>
      </c>
      <c r="Z169" s="1">
        <v>141.38</v>
      </c>
      <c r="AA169" s="1">
        <v>127.18000000000002</v>
      </c>
      <c r="AB169" s="1">
        <v>136.97999999999999</v>
      </c>
      <c r="AC169" s="1">
        <v>147.54000000000002</v>
      </c>
      <c r="AD169" s="1">
        <v>132.16000000000003</v>
      </c>
      <c r="AE169" s="1">
        <v>136.68</v>
      </c>
      <c r="AF169" s="1">
        <v>140.89999999999998</v>
      </c>
      <c r="AG169" s="1">
        <f t="shared" si="15"/>
        <v>1775.8999999999999</v>
      </c>
      <c r="AH169" s="1">
        <f t="shared" si="16"/>
        <v>161.45999999999998</v>
      </c>
      <c r="AI169" s="1">
        <f t="shared" si="17"/>
        <v>434.25999999999993</v>
      </c>
      <c r="AJ169" s="1">
        <f t="shared" si="18"/>
        <v>146.16666666666666</v>
      </c>
      <c r="AK169" s="1">
        <f t="shared" si="19"/>
        <v>144.19999999999999</v>
      </c>
      <c r="AL169" s="1">
        <f t="shared" si="20"/>
        <v>964.42000000000007</v>
      </c>
    </row>
    <row r="170" spans="1:38" x14ac:dyDescent="0.3">
      <c r="A170" t="s">
        <v>28</v>
      </c>
      <c r="B170" s="1">
        <v>2018</v>
      </c>
      <c r="C170" t="s">
        <v>38</v>
      </c>
      <c r="D170" t="str">
        <f t="shared" si="14"/>
        <v>2018-August</v>
      </c>
      <c r="E170" s="1">
        <v>8</v>
      </c>
      <c r="F170" s="1">
        <v>138.08000000000001</v>
      </c>
      <c r="G170" s="1">
        <v>146.69999999999999</v>
      </c>
      <c r="H170" s="1">
        <v>136.63999999999999</v>
      </c>
      <c r="I170" s="1">
        <v>142.5</v>
      </c>
      <c r="J170" s="1">
        <v>121.4</v>
      </c>
      <c r="K170" s="1">
        <v>148.28</v>
      </c>
      <c r="L170" s="1">
        <v>154.18</v>
      </c>
      <c r="M170" s="1">
        <v>120.34</v>
      </c>
      <c r="N170" s="1">
        <v>114.02</v>
      </c>
      <c r="O170" s="1">
        <v>139.80000000000001</v>
      </c>
      <c r="P170" s="1">
        <v>130.62000000000003</v>
      </c>
      <c r="Q170" s="1">
        <v>153.16</v>
      </c>
      <c r="R170" s="1">
        <v>140.94</v>
      </c>
      <c r="S170" s="1">
        <v>159.47999999999996</v>
      </c>
      <c r="T170" s="1">
        <v>146.45999999999998</v>
      </c>
      <c r="U170" s="1">
        <v>137.80000000000001</v>
      </c>
      <c r="V170" s="1">
        <v>145.22</v>
      </c>
      <c r="W170" s="1">
        <v>144.83333333333334</v>
      </c>
      <c r="X170" s="1">
        <v>139.71999999999997</v>
      </c>
      <c r="Y170" s="1">
        <v>139.30000000000001</v>
      </c>
      <c r="Z170" s="1">
        <v>137.54000000000002</v>
      </c>
      <c r="AA170" s="1">
        <v>125.14000000000001</v>
      </c>
      <c r="AB170" s="1">
        <v>134.44</v>
      </c>
      <c r="AC170" s="1">
        <v>146.19999999999999</v>
      </c>
      <c r="AD170" s="1">
        <v>130.19999999999999</v>
      </c>
      <c r="AE170" s="1">
        <v>134.16</v>
      </c>
      <c r="AF170" s="1">
        <v>140.22</v>
      </c>
      <c r="AG170" s="1">
        <f t="shared" si="15"/>
        <v>1786.66</v>
      </c>
      <c r="AH170" s="1">
        <f t="shared" si="16"/>
        <v>159.47999999999996</v>
      </c>
      <c r="AI170" s="1">
        <f t="shared" si="17"/>
        <v>429.48</v>
      </c>
      <c r="AJ170" s="1">
        <f t="shared" si="18"/>
        <v>144.83333333333334</v>
      </c>
      <c r="AK170" s="1">
        <f t="shared" si="19"/>
        <v>139.71999999999997</v>
      </c>
      <c r="AL170" s="1">
        <f t="shared" si="20"/>
        <v>946.98000000000013</v>
      </c>
    </row>
    <row r="171" spans="1:38" x14ac:dyDescent="0.3">
      <c r="A171" t="s">
        <v>30</v>
      </c>
      <c r="B171" s="1">
        <v>2018</v>
      </c>
      <c r="C171" t="s">
        <v>38</v>
      </c>
      <c r="D171" t="str">
        <f t="shared" si="14"/>
        <v>2018-August</v>
      </c>
      <c r="E171" s="1">
        <v>8</v>
      </c>
      <c r="F171" s="1">
        <v>137.96</v>
      </c>
      <c r="G171" s="1">
        <v>146.1</v>
      </c>
      <c r="H171" s="1">
        <v>135.84</v>
      </c>
      <c r="I171" s="1">
        <v>142.38</v>
      </c>
      <c r="J171" s="1">
        <v>120.82</v>
      </c>
      <c r="K171" s="1">
        <v>146.47999999999999</v>
      </c>
      <c r="L171" s="1">
        <v>152.91999999999999</v>
      </c>
      <c r="M171" s="1">
        <v>119.26</v>
      </c>
      <c r="N171" s="1">
        <v>113.68</v>
      </c>
      <c r="O171" s="1">
        <v>139.97999999999999</v>
      </c>
      <c r="P171" s="1">
        <v>130.02000000000004</v>
      </c>
      <c r="Q171" s="1">
        <v>152.87999999999997</v>
      </c>
      <c r="R171" s="1">
        <v>140.47999999999999</v>
      </c>
      <c r="S171" s="1">
        <v>160.04000000000002</v>
      </c>
      <c r="T171" s="1">
        <v>145.58000000000001</v>
      </c>
      <c r="U171" s="1">
        <v>136.46</v>
      </c>
      <c r="V171" s="1">
        <v>144.26</v>
      </c>
      <c r="W171" s="1">
        <v>144.94999999999999</v>
      </c>
      <c r="X171" s="1">
        <v>138.64000000000001</v>
      </c>
      <c r="Y171" s="1">
        <v>138.48000000000002</v>
      </c>
      <c r="Z171" s="1">
        <v>137.33999999999997</v>
      </c>
      <c r="AA171" s="1">
        <v>124.67999999999999</v>
      </c>
      <c r="AB171" s="1">
        <v>133.61999999999998</v>
      </c>
      <c r="AC171" s="1">
        <v>146.06</v>
      </c>
      <c r="AD171" s="1">
        <v>130.12</v>
      </c>
      <c r="AE171" s="1">
        <v>133.77999999999997</v>
      </c>
      <c r="AF171" s="1">
        <v>139.76</v>
      </c>
      <c r="AG171" s="1">
        <f t="shared" si="15"/>
        <v>1778.8</v>
      </c>
      <c r="AH171" s="1">
        <f t="shared" si="16"/>
        <v>160.04000000000002</v>
      </c>
      <c r="AI171" s="1">
        <f t="shared" si="17"/>
        <v>426.3</v>
      </c>
      <c r="AJ171" s="1">
        <f t="shared" si="18"/>
        <v>144.94999999999999</v>
      </c>
      <c r="AK171" s="1">
        <f t="shared" si="19"/>
        <v>138.64000000000001</v>
      </c>
      <c r="AL171" s="1">
        <f t="shared" si="20"/>
        <v>944.08</v>
      </c>
    </row>
    <row r="172" spans="1:38" x14ac:dyDescent="0.3">
      <c r="A172" t="s">
        <v>31</v>
      </c>
      <c r="B172" s="1">
        <v>2018</v>
      </c>
      <c r="C172" t="s">
        <v>38</v>
      </c>
      <c r="D172" t="str">
        <f t="shared" si="14"/>
        <v>2018-August</v>
      </c>
      <c r="E172" s="1">
        <v>8</v>
      </c>
      <c r="F172" s="1">
        <v>138.52000000000001</v>
      </c>
      <c r="G172" s="1">
        <v>146.34</v>
      </c>
      <c r="H172" s="1">
        <v>135.44</v>
      </c>
      <c r="I172" s="1">
        <v>142.52000000000001</v>
      </c>
      <c r="J172" s="1">
        <v>122.04</v>
      </c>
      <c r="K172" s="1">
        <v>146.12</v>
      </c>
      <c r="L172" s="1">
        <v>150.97999999999999</v>
      </c>
      <c r="M172" s="1">
        <v>120.82</v>
      </c>
      <c r="N172" s="1">
        <v>113.48</v>
      </c>
      <c r="O172" s="1">
        <v>139.66</v>
      </c>
      <c r="P172" s="1">
        <v>131.46</v>
      </c>
      <c r="Q172" s="1">
        <v>153.84</v>
      </c>
      <c r="R172" s="1">
        <v>140.5</v>
      </c>
      <c r="S172" s="1">
        <v>159.54000000000002</v>
      </c>
      <c r="T172" s="1">
        <v>147.71999999999997</v>
      </c>
      <c r="U172" s="1">
        <v>139.56</v>
      </c>
      <c r="V172" s="1">
        <v>146.56</v>
      </c>
      <c r="W172" s="1">
        <v>145.06666666666666</v>
      </c>
      <c r="X172" s="1">
        <v>142.61999999999998</v>
      </c>
      <c r="Y172" s="1">
        <v>141.1</v>
      </c>
      <c r="Z172" s="1">
        <v>139.32</v>
      </c>
      <c r="AA172" s="1">
        <v>126.7</v>
      </c>
      <c r="AB172" s="1">
        <v>135.68</v>
      </c>
      <c r="AC172" s="1">
        <v>146.6</v>
      </c>
      <c r="AD172" s="1">
        <v>131.34</v>
      </c>
      <c r="AE172" s="1">
        <v>135.54000000000002</v>
      </c>
      <c r="AF172" s="1">
        <v>140.6</v>
      </c>
      <c r="AG172" s="1">
        <f t="shared" si="15"/>
        <v>1781.72</v>
      </c>
      <c r="AH172" s="1">
        <f t="shared" si="16"/>
        <v>159.54000000000002</v>
      </c>
      <c r="AI172" s="1">
        <f t="shared" si="17"/>
        <v>433.84</v>
      </c>
      <c r="AJ172" s="1">
        <f t="shared" si="18"/>
        <v>145.06666666666666</v>
      </c>
      <c r="AK172" s="1">
        <f t="shared" si="19"/>
        <v>142.61999999999998</v>
      </c>
      <c r="AL172" s="1">
        <f t="shared" si="20"/>
        <v>956.28</v>
      </c>
    </row>
    <row r="173" spans="1:38" x14ac:dyDescent="0.3">
      <c r="A173" t="s">
        <v>28</v>
      </c>
      <c r="B173" s="1">
        <v>2018</v>
      </c>
      <c r="C173" t="s">
        <v>37</v>
      </c>
      <c r="D173" t="str">
        <f t="shared" si="14"/>
        <v>2018-July</v>
      </c>
      <c r="E173" s="1">
        <v>7</v>
      </c>
      <c r="F173" s="1">
        <v>137.44</v>
      </c>
      <c r="G173" s="1">
        <v>148.44</v>
      </c>
      <c r="H173" s="1">
        <v>138.66</v>
      </c>
      <c r="I173" s="1">
        <v>142.32</v>
      </c>
      <c r="J173" s="1">
        <v>120.92</v>
      </c>
      <c r="K173" s="1">
        <v>151.06</v>
      </c>
      <c r="L173" s="1">
        <v>156.58000000000001</v>
      </c>
      <c r="M173" s="1">
        <v>120.22</v>
      </c>
      <c r="N173" s="1">
        <v>113.66</v>
      </c>
      <c r="O173" s="1">
        <v>139.42000000000002</v>
      </c>
      <c r="P173" s="1">
        <v>130.22</v>
      </c>
      <c r="Q173" s="1">
        <v>152.42000000000002</v>
      </c>
      <c r="R173" s="1">
        <v>141.30000000000001</v>
      </c>
      <c r="S173" s="1">
        <v>158.69999999999999</v>
      </c>
      <c r="T173" s="1">
        <v>146</v>
      </c>
      <c r="U173" s="1">
        <v>137.44</v>
      </c>
      <c r="V173" s="1">
        <v>144.74</v>
      </c>
      <c r="W173" s="1">
        <v>143.93333333333331</v>
      </c>
      <c r="X173" s="1">
        <v>138.41999999999999</v>
      </c>
      <c r="Y173" s="1">
        <v>138.69999999999999</v>
      </c>
      <c r="Z173" s="1">
        <v>136.78</v>
      </c>
      <c r="AA173" s="1">
        <v>124.04</v>
      </c>
      <c r="AB173" s="1">
        <v>133.78000000000003</v>
      </c>
      <c r="AC173" s="1">
        <v>145.34</v>
      </c>
      <c r="AD173" s="1">
        <v>129.85999999999999</v>
      </c>
      <c r="AE173" s="1">
        <v>133.4</v>
      </c>
      <c r="AF173" s="1">
        <v>139.92000000000002</v>
      </c>
      <c r="AG173" s="1">
        <f t="shared" si="15"/>
        <v>1792.66</v>
      </c>
      <c r="AH173" s="1">
        <f t="shared" si="16"/>
        <v>158.69999999999999</v>
      </c>
      <c r="AI173" s="1">
        <f t="shared" si="17"/>
        <v>428.18</v>
      </c>
      <c r="AJ173" s="1">
        <f t="shared" si="18"/>
        <v>143.93333333333331</v>
      </c>
      <c r="AK173" s="1">
        <f t="shared" si="19"/>
        <v>138.41999999999999</v>
      </c>
      <c r="AL173" s="1">
        <f t="shared" si="20"/>
        <v>941.90000000000009</v>
      </c>
    </row>
    <row r="174" spans="1:38" x14ac:dyDescent="0.3">
      <c r="A174" t="s">
        <v>30</v>
      </c>
      <c r="B174" s="1">
        <v>2018</v>
      </c>
      <c r="C174" t="s">
        <v>37</v>
      </c>
      <c r="D174" t="str">
        <f t="shared" si="14"/>
        <v>2018-July</v>
      </c>
      <c r="E174" s="1">
        <v>7</v>
      </c>
      <c r="F174" s="1">
        <v>137.41999999999999</v>
      </c>
      <c r="G174" s="1">
        <v>148.18</v>
      </c>
      <c r="H174" s="1">
        <v>138.41999999999999</v>
      </c>
      <c r="I174" s="1">
        <v>142.16</v>
      </c>
      <c r="J174" s="1">
        <v>120.54</v>
      </c>
      <c r="K174" s="1">
        <v>150.52000000000001</v>
      </c>
      <c r="L174" s="1">
        <v>157.06</v>
      </c>
      <c r="M174" s="1">
        <v>119.42</v>
      </c>
      <c r="N174" s="1">
        <v>113.74</v>
      </c>
      <c r="O174" s="1">
        <v>139.66000000000003</v>
      </c>
      <c r="P174" s="1">
        <v>129.88000000000002</v>
      </c>
      <c r="Q174" s="1">
        <v>152.06</v>
      </c>
      <c r="R174" s="1">
        <v>141.24</v>
      </c>
      <c r="S174" s="1">
        <v>159.06</v>
      </c>
      <c r="T174" s="1">
        <v>145.16</v>
      </c>
      <c r="U174" s="1">
        <v>136.18</v>
      </c>
      <c r="V174" s="1">
        <v>143.84</v>
      </c>
      <c r="W174" s="1">
        <v>144.1</v>
      </c>
      <c r="X174" s="1">
        <v>137.23999999999998</v>
      </c>
      <c r="Y174" s="1">
        <v>137.95999999999998</v>
      </c>
      <c r="Z174" s="1">
        <v>136.51999999999998</v>
      </c>
      <c r="AA174" s="1">
        <v>123.4</v>
      </c>
      <c r="AB174" s="1">
        <v>132.82</v>
      </c>
      <c r="AC174" s="1">
        <v>145.38000000000002</v>
      </c>
      <c r="AD174" s="1">
        <v>129.6</v>
      </c>
      <c r="AE174" s="1">
        <v>132.97999999999999</v>
      </c>
      <c r="AF174" s="1">
        <v>139.63999999999999</v>
      </c>
      <c r="AG174" s="1">
        <f t="shared" si="15"/>
        <v>1790.3000000000002</v>
      </c>
      <c r="AH174" s="1">
        <f t="shared" si="16"/>
        <v>159.06</v>
      </c>
      <c r="AI174" s="1">
        <f t="shared" si="17"/>
        <v>425.18000000000006</v>
      </c>
      <c r="AJ174" s="1">
        <f t="shared" si="18"/>
        <v>144.1</v>
      </c>
      <c r="AK174" s="1">
        <f t="shared" si="19"/>
        <v>137.23999999999998</v>
      </c>
      <c r="AL174" s="1">
        <f t="shared" si="20"/>
        <v>938.66000000000008</v>
      </c>
    </row>
    <row r="175" spans="1:38" x14ac:dyDescent="0.3">
      <c r="A175" t="s">
        <v>31</v>
      </c>
      <c r="B175" s="1">
        <v>2018</v>
      </c>
      <c r="C175" t="s">
        <v>37</v>
      </c>
      <c r="D175" t="str">
        <f t="shared" si="14"/>
        <v>2018-July</v>
      </c>
      <c r="E175" s="1">
        <v>7</v>
      </c>
      <c r="F175" s="1">
        <v>138.18</v>
      </c>
      <c r="G175" s="1">
        <v>147.9</v>
      </c>
      <c r="H175" s="1">
        <v>137.91999999999999</v>
      </c>
      <c r="I175" s="1">
        <v>142.69999999999999</v>
      </c>
      <c r="J175" s="1">
        <v>122.12</v>
      </c>
      <c r="K175" s="1">
        <v>150.6</v>
      </c>
      <c r="L175" s="1">
        <v>155.1</v>
      </c>
      <c r="M175" s="1">
        <v>121.98</v>
      </c>
      <c r="N175" s="1">
        <v>114.26</v>
      </c>
      <c r="O175" s="1">
        <v>139.34</v>
      </c>
      <c r="P175" s="1">
        <v>131.14000000000001</v>
      </c>
      <c r="Q175" s="1">
        <v>153.35999999999999</v>
      </c>
      <c r="R175" s="1">
        <v>141.44</v>
      </c>
      <c r="S175" s="1">
        <v>158.32</v>
      </c>
      <c r="T175" s="1">
        <v>147.66000000000003</v>
      </c>
      <c r="U175" s="1">
        <v>139.62</v>
      </c>
      <c r="V175" s="1">
        <v>146.51999999999998</v>
      </c>
      <c r="W175" s="1">
        <v>144.26666666666665</v>
      </c>
      <c r="X175" s="1">
        <v>141.42000000000002</v>
      </c>
      <c r="Y175" s="1">
        <v>140.04</v>
      </c>
      <c r="Z175" s="1">
        <v>137.80000000000001</v>
      </c>
      <c r="AA175" s="1">
        <v>125.36000000000001</v>
      </c>
      <c r="AB175" s="1">
        <v>135.02000000000001</v>
      </c>
      <c r="AC175" s="1">
        <v>146.10000000000002</v>
      </c>
      <c r="AD175" s="1">
        <v>130.35999999999999</v>
      </c>
      <c r="AE175" s="1">
        <v>134.41999999999999</v>
      </c>
      <c r="AF175" s="1">
        <v>140.56</v>
      </c>
      <c r="AG175" s="1">
        <f t="shared" si="15"/>
        <v>1796.04</v>
      </c>
      <c r="AH175" s="1">
        <f t="shared" si="16"/>
        <v>158.32</v>
      </c>
      <c r="AI175" s="1">
        <f t="shared" si="17"/>
        <v>433.8</v>
      </c>
      <c r="AJ175" s="1">
        <f t="shared" si="18"/>
        <v>144.26666666666665</v>
      </c>
      <c r="AK175" s="1">
        <f t="shared" si="19"/>
        <v>141.42000000000002</v>
      </c>
      <c r="AL175" s="1">
        <f t="shared" si="20"/>
        <v>949.1</v>
      </c>
    </row>
    <row r="176" spans="1:38" x14ac:dyDescent="0.3">
      <c r="A176" t="s">
        <v>28</v>
      </c>
      <c r="B176" s="1">
        <v>2018</v>
      </c>
      <c r="C176" t="s">
        <v>36</v>
      </c>
      <c r="D176" t="str">
        <f t="shared" si="14"/>
        <v>2018-June</v>
      </c>
      <c r="E176" s="1">
        <v>6</v>
      </c>
      <c r="F176" s="1">
        <v>136.76</v>
      </c>
      <c r="G176" s="1">
        <v>148.88</v>
      </c>
      <c r="H176" s="1">
        <v>136.91999999999999</v>
      </c>
      <c r="I176" s="1">
        <v>142.13999999999999</v>
      </c>
      <c r="J176" s="1">
        <v>120.54</v>
      </c>
      <c r="K176" s="1">
        <v>152.5</v>
      </c>
      <c r="L176" s="1">
        <v>148.91999999999999</v>
      </c>
      <c r="M176" s="1">
        <v>119.74</v>
      </c>
      <c r="N176" s="1">
        <v>111.6</v>
      </c>
      <c r="O176" s="1">
        <v>138.9</v>
      </c>
      <c r="P176" s="1">
        <v>129.88</v>
      </c>
      <c r="Q176" s="1">
        <v>151.86000000000001</v>
      </c>
      <c r="R176" s="1">
        <v>140.01999999999998</v>
      </c>
      <c r="S176" s="1">
        <v>158.82</v>
      </c>
      <c r="T176" s="1">
        <v>145.54000000000002</v>
      </c>
      <c r="U176" s="1">
        <v>137.1</v>
      </c>
      <c r="V176" s="1">
        <v>144.28</v>
      </c>
      <c r="W176" s="1">
        <v>142.86666666666667</v>
      </c>
      <c r="X176" s="1">
        <v>136.92000000000002</v>
      </c>
      <c r="Y176" s="1">
        <v>137.97999999999999</v>
      </c>
      <c r="Z176" s="1">
        <v>135.96</v>
      </c>
      <c r="AA176" s="1">
        <v>123.82000000000001</v>
      </c>
      <c r="AB176" s="1">
        <v>133.26</v>
      </c>
      <c r="AC176" s="1">
        <v>143.78</v>
      </c>
      <c r="AD176" s="1">
        <v>129.85999999999999</v>
      </c>
      <c r="AE176" s="1">
        <v>132.78000000000003</v>
      </c>
      <c r="AF176" s="1">
        <v>138.9</v>
      </c>
      <c r="AG176" s="1">
        <f t="shared" si="15"/>
        <v>1778.6599999999999</v>
      </c>
      <c r="AH176" s="1">
        <f t="shared" si="16"/>
        <v>158.82</v>
      </c>
      <c r="AI176" s="1">
        <f t="shared" si="17"/>
        <v>426.91999999999996</v>
      </c>
      <c r="AJ176" s="1">
        <f t="shared" si="18"/>
        <v>142.86666666666667</v>
      </c>
      <c r="AK176" s="1">
        <f t="shared" si="19"/>
        <v>136.92000000000002</v>
      </c>
      <c r="AL176" s="1">
        <f t="shared" si="20"/>
        <v>937.44</v>
      </c>
    </row>
    <row r="177" spans="1:38" x14ac:dyDescent="0.3">
      <c r="A177" t="s">
        <v>30</v>
      </c>
      <c r="B177" s="1">
        <v>2018</v>
      </c>
      <c r="C177" t="s">
        <v>36</v>
      </c>
      <c r="D177" t="str">
        <f t="shared" si="14"/>
        <v>2018-June</v>
      </c>
      <c r="E177" s="1">
        <v>6</v>
      </c>
      <c r="F177" s="1">
        <v>136.74</v>
      </c>
      <c r="G177" s="1">
        <v>149.08000000000001</v>
      </c>
      <c r="H177" s="1">
        <v>137.41999999999999</v>
      </c>
      <c r="I177" s="1">
        <v>142</v>
      </c>
      <c r="J177" s="1">
        <v>120.02</v>
      </c>
      <c r="K177" s="1">
        <v>152</v>
      </c>
      <c r="L177" s="1">
        <v>151.4</v>
      </c>
      <c r="M177" s="1">
        <v>118.88</v>
      </c>
      <c r="N177" s="1">
        <v>111.82</v>
      </c>
      <c r="O177" s="1">
        <v>139.16</v>
      </c>
      <c r="P177" s="1">
        <v>129.38000000000002</v>
      </c>
      <c r="Q177" s="1">
        <v>151.45999999999998</v>
      </c>
      <c r="R177" s="1">
        <v>140.30000000000001</v>
      </c>
      <c r="S177" s="1">
        <v>158.85999999999999</v>
      </c>
      <c r="T177" s="1">
        <v>144.64000000000001</v>
      </c>
      <c r="U177" s="1">
        <v>135.83999999999997</v>
      </c>
      <c r="V177" s="1">
        <v>143.34</v>
      </c>
      <c r="W177" s="1">
        <v>143.05000000000001</v>
      </c>
      <c r="X177" s="1">
        <v>135.84</v>
      </c>
      <c r="Y177" s="1">
        <v>137.26000000000002</v>
      </c>
      <c r="Z177" s="1">
        <v>135.68</v>
      </c>
      <c r="AA177" s="1">
        <v>123.06000000000002</v>
      </c>
      <c r="AB177" s="1">
        <v>132.32</v>
      </c>
      <c r="AC177" s="1">
        <v>143.69999999999999</v>
      </c>
      <c r="AD177" s="1">
        <v>129.59999999999997</v>
      </c>
      <c r="AE177" s="1">
        <v>132.30000000000001</v>
      </c>
      <c r="AF177" s="1">
        <v>138.76</v>
      </c>
      <c r="AG177" s="1">
        <f t="shared" si="15"/>
        <v>1779.66</v>
      </c>
      <c r="AH177" s="1">
        <f t="shared" si="16"/>
        <v>158.85999999999999</v>
      </c>
      <c r="AI177" s="1">
        <f t="shared" si="17"/>
        <v>423.82000000000005</v>
      </c>
      <c r="AJ177" s="1">
        <f t="shared" si="18"/>
        <v>143.05000000000001</v>
      </c>
      <c r="AK177" s="1">
        <f t="shared" si="19"/>
        <v>135.84</v>
      </c>
      <c r="AL177" s="1">
        <f t="shared" si="20"/>
        <v>933.91999999999985</v>
      </c>
    </row>
    <row r="178" spans="1:38" x14ac:dyDescent="0.3">
      <c r="A178" t="s">
        <v>31</v>
      </c>
      <c r="B178" s="1">
        <v>2018</v>
      </c>
      <c r="C178" t="s">
        <v>36</v>
      </c>
      <c r="D178" t="str">
        <f t="shared" si="14"/>
        <v>2018-June</v>
      </c>
      <c r="E178" s="1">
        <v>6</v>
      </c>
      <c r="F178" s="1">
        <v>137.52000000000001</v>
      </c>
      <c r="G178" s="1">
        <v>148.9</v>
      </c>
      <c r="H178" s="1">
        <v>138.46</v>
      </c>
      <c r="I178" s="1">
        <v>142.54</v>
      </c>
      <c r="J178" s="1">
        <v>121.7</v>
      </c>
      <c r="K178" s="1">
        <v>152.44</v>
      </c>
      <c r="L178" s="1">
        <v>153.86000000000001</v>
      </c>
      <c r="M178" s="1">
        <v>121.78</v>
      </c>
      <c r="N178" s="1">
        <v>113.22</v>
      </c>
      <c r="O178" s="1">
        <v>138.88000000000002</v>
      </c>
      <c r="P178" s="1">
        <v>130.80000000000001</v>
      </c>
      <c r="Q178" s="1">
        <v>152.69999999999999</v>
      </c>
      <c r="R178" s="1">
        <v>141.16</v>
      </c>
      <c r="S178" s="1">
        <v>157.94</v>
      </c>
      <c r="T178" s="1">
        <v>147.28</v>
      </c>
      <c r="U178" s="1">
        <v>139.26</v>
      </c>
      <c r="V178" s="1">
        <v>146.11999999999998</v>
      </c>
      <c r="W178" s="1">
        <v>143.23333333333335</v>
      </c>
      <c r="X178" s="1">
        <v>140.08000000000001</v>
      </c>
      <c r="Y178" s="1">
        <v>139.4</v>
      </c>
      <c r="Z178" s="1">
        <v>137.04</v>
      </c>
      <c r="AA178" s="1">
        <v>124.64000000000001</v>
      </c>
      <c r="AB178" s="1">
        <v>134.34</v>
      </c>
      <c r="AC178" s="1">
        <v>144.83999999999997</v>
      </c>
      <c r="AD178" s="1">
        <v>130.21999999999997</v>
      </c>
      <c r="AE178" s="1">
        <v>133.72</v>
      </c>
      <c r="AF178" s="1">
        <v>140.02000000000001</v>
      </c>
      <c r="AG178" s="1">
        <f t="shared" si="15"/>
        <v>1793.9600000000003</v>
      </c>
      <c r="AH178" s="1">
        <f t="shared" si="16"/>
        <v>157.94</v>
      </c>
      <c r="AI178" s="1">
        <f t="shared" si="17"/>
        <v>432.65999999999997</v>
      </c>
      <c r="AJ178" s="1">
        <f t="shared" si="18"/>
        <v>143.23333333333335</v>
      </c>
      <c r="AK178" s="1">
        <f t="shared" si="19"/>
        <v>140.08000000000001</v>
      </c>
      <c r="AL178" s="1">
        <f t="shared" si="20"/>
        <v>944.2</v>
      </c>
    </row>
    <row r="179" spans="1:38" x14ac:dyDescent="0.3">
      <c r="A179" t="s">
        <v>28</v>
      </c>
      <c r="B179" s="1">
        <v>2018</v>
      </c>
      <c r="C179" t="s">
        <v>35</v>
      </c>
      <c r="D179" t="str">
        <f t="shared" si="14"/>
        <v>2018-May</v>
      </c>
      <c r="E179" s="1">
        <v>5</v>
      </c>
      <c r="F179" s="1">
        <v>136.38</v>
      </c>
      <c r="G179" s="1">
        <v>147.66</v>
      </c>
      <c r="H179" s="1">
        <v>134.04</v>
      </c>
      <c r="I179" s="1">
        <v>141.94</v>
      </c>
      <c r="J179" s="1">
        <v>120.32</v>
      </c>
      <c r="K179" s="1">
        <v>153.94</v>
      </c>
      <c r="L179" s="1">
        <v>138.46</v>
      </c>
      <c r="M179" s="1">
        <v>120.12</v>
      </c>
      <c r="N179" s="1">
        <v>109.5</v>
      </c>
      <c r="O179" s="1">
        <v>138.54000000000002</v>
      </c>
      <c r="P179" s="1">
        <v>129.64000000000001</v>
      </c>
      <c r="Q179" s="1">
        <v>151.6</v>
      </c>
      <c r="R179" s="1">
        <v>138.4</v>
      </c>
      <c r="S179" s="1">
        <v>158.69999999999999</v>
      </c>
      <c r="T179" s="1">
        <v>145.12</v>
      </c>
      <c r="U179" s="1">
        <v>136.56</v>
      </c>
      <c r="V179" s="1">
        <v>143.83999999999997</v>
      </c>
      <c r="W179" s="1">
        <v>142.96666666666667</v>
      </c>
      <c r="X179" s="1">
        <v>135.5</v>
      </c>
      <c r="Y179" s="1">
        <v>137.40000000000003</v>
      </c>
      <c r="Z179" s="1">
        <v>135.47999999999999</v>
      </c>
      <c r="AA179" s="1">
        <v>123.38</v>
      </c>
      <c r="AB179" s="1">
        <v>132.58000000000001</v>
      </c>
      <c r="AC179" s="1">
        <v>142.64000000000001</v>
      </c>
      <c r="AD179" s="1">
        <v>129.76</v>
      </c>
      <c r="AE179" s="1">
        <v>132.24</v>
      </c>
      <c r="AF179" s="1">
        <v>137.94</v>
      </c>
      <c r="AG179" s="1">
        <f t="shared" si="15"/>
        <v>1760.5400000000002</v>
      </c>
      <c r="AH179" s="1">
        <f t="shared" si="16"/>
        <v>158.69999999999999</v>
      </c>
      <c r="AI179" s="1">
        <f t="shared" si="17"/>
        <v>425.52</v>
      </c>
      <c r="AJ179" s="1">
        <f t="shared" si="18"/>
        <v>142.96666666666667</v>
      </c>
      <c r="AK179" s="1">
        <f t="shared" si="19"/>
        <v>135.5</v>
      </c>
      <c r="AL179" s="1">
        <f t="shared" si="20"/>
        <v>933.48</v>
      </c>
    </row>
    <row r="180" spans="1:38" x14ac:dyDescent="0.3">
      <c r="A180" t="s">
        <v>30</v>
      </c>
      <c r="B180" s="1">
        <v>2018</v>
      </c>
      <c r="C180" t="s">
        <v>35</v>
      </c>
      <c r="D180" t="str">
        <f t="shared" si="14"/>
        <v>2018-May</v>
      </c>
      <c r="E180" s="1">
        <v>5</v>
      </c>
      <c r="F180" s="1">
        <v>136.28</v>
      </c>
      <c r="G180" s="1">
        <v>148.26</v>
      </c>
      <c r="H180" s="1">
        <v>134.06</v>
      </c>
      <c r="I180" s="1">
        <v>141.82</v>
      </c>
      <c r="J180" s="1">
        <v>119.86</v>
      </c>
      <c r="K180" s="1">
        <v>153.08000000000001</v>
      </c>
      <c r="L180" s="1">
        <v>139.63999999999999</v>
      </c>
      <c r="M180" s="1">
        <v>118.96</v>
      </c>
      <c r="N180" s="1">
        <v>109.36</v>
      </c>
      <c r="O180" s="1">
        <v>138.73999999999998</v>
      </c>
      <c r="P180" s="1">
        <v>129.26</v>
      </c>
      <c r="Q180" s="1">
        <v>151.1</v>
      </c>
      <c r="R180" s="1">
        <v>138.45999999999998</v>
      </c>
      <c r="S180" s="1">
        <v>158.95999999999998</v>
      </c>
      <c r="T180" s="1">
        <v>144.24</v>
      </c>
      <c r="U180" s="1">
        <v>135.36000000000001</v>
      </c>
      <c r="V180" s="1">
        <v>142.91999999999999</v>
      </c>
      <c r="W180" s="1">
        <v>142.85</v>
      </c>
      <c r="X180" s="1">
        <v>134.26000000000002</v>
      </c>
      <c r="Y180" s="1">
        <v>136.61999999999998</v>
      </c>
      <c r="Z180" s="1">
        <v>135.04000000000002</v>
      </c>
      <c r="AA180" s="1">
        <v>122.84</v>
      </c>
      <c r="AB180" s="1">
        <v>131.74</v>
      </c>
      <c r="AC180" s="1">
        <v>142.32</v>
      </c>
      <c r="AD180" s="1">
        <v>129.54</v>
      </c>
      <c r="AE180" s="1">
        <v>131.74</v>
      </c>
      <c r="AF180" s="1">
        <v>137.68</v>
      </c>
      <c r="AG180" s="1">
        <f t="shared" si="15"/>
        <v>1758.8799999999999</v>
      </c>
      <c r="AH180" s="1">
        <f t="shared" si="16"/>
        <v>158.95999999999998</v>
      </c>
      <c r="AI180" s="1">
        <f t="shared" si="17"/>
        <v>422.52</v>
      </c>
      <c r="AJ180" s="1">
        <f t="shared" si="18"/>
        <v>142.85</v>
      </c>
      <c r="AK180" s="1">
        <f t="shared" si="19"/>
        <v>134.26000000000002</v>
      </c>
      <c r="AL180" s="1">
        <f t="shared" si="20"/>
        <v>929.83999999999992</v>
      </c>
    </row>
    <row r="181" spans="1:38" x14ac:dyDescent="0.3">
      <c r="A181" t="s">
        <v>31</v>
      </c>
      <c r="B181" s="1">
        <v>2018</v>
      </c>
      <c r="C181" t="s">
        <v>35</v>
      </c>
      <c r="D181" t="str">
        <f t="shared" si="14"/>
        <v>2018-May</v>
      </c>
      <c r="E181" s="1">
        <v>5</v>
      </c>
      <c r="F181" s="1">
        <v>136.96</v>
      </c>
      <c r="G181" s="1">
        <v>148.47999999999999</v>
      </c>
      <c r="H181" s="1">
        <v>135.82</v>
      </c>
      <c r="I181" s="1">
        <v>142.36000000000001</v>
      </c>
      <c r="J181" s="1">
        <v>121.4</v>
      </c>
      <c r="K181" s="1">
        <v>153.47999999999999</v>
      </c>
      <c r="L181" s="1">
        <v>144.19999999999999</v>
      </c>
      <c r="M181" s="1">
        <v>121.68</v>
      </c>
      <c r="N181" s="1">
        <v>111.16</v>
      </c>
      <c r="O181" s="1">
        <v>138.45999999999998</v>
      </c>
      <c r="P181" s="1">
        <v>130.5</v>
      </c>
      <c r="Q181" s="1">
        <v>152.32</v>
      </c>
      <c r="R181" s="1">
        <v>139.57999999999998</v>
      </c>
      <c r="S181" s="1">
        <v>158.12</v>
      </c>
      <c r="T181" s="1">
        <v>146.82</v>
      </c>
      <c r="U181" s="1">
        <v>138.80000000000001</v>
      </c>
      <c r="V181" s="1">
        <v>145.63999999999999</v>
      </c>
      <c r="W181" s="1">
        <v>142.73333333333332</v>
      </c>
      <c r="X181" s="1">
        <v>138.68</v>
      </c>
      <c r="Y181" s="1">
        <v>138.74</v>
      </c>
      <c r="Z181" s="1">
        <v>136.44</v>
      </c>
      <c r="AA181" s="1">
        <v>124.38000000000002</v>
      </c>
      <c r="AB181" s="1">
        <v>133.82</v>
      </c>
      <c r="AC181" s="1">
        <v>143.4</v>
      </c>
      <c r="AD181" s="1">
        <v>130.19999999999999</v>
      </c>
      <c r="AE181" s="1">
        <v>133.16</v>
      </c>
      <c r="AF181" s="1">
        <v>138.95999999999998</v>
      </c>
      <c r="AG181" s="1">
        <f t="shared" si="15"/>
        <v>1776.4</v>
      </c>
      <c r="AH181" s="1">
        <f t="shared" si="16"/>
        <v>158.12</v>
      </c>
      <c r="AI181" s="1">
        <f t="shared" si="17"/>
        <v>431.26</v>
      </c>
      <c r="AJ181" s="1">
        <f t="shared" si="18"/>
        <v>142.73333333333332</v>
      </c>
      <c r="AK181" s="1">
        <f t="shared" si="19"/>
        <v>138.68</v>
      </c>
      <c r="AL181" s="1">
        <f t="shared" si="20"/>
        <v>940.14</v>
      </c>
    </row>
    <row r="182" spans="1:38" x14ac:dyDescent="0.3">
      <c r="A182" t="s">
        <v>28</v>
      </c>
      <c r="B182" s="1">
        <v>2018</v>
      </c>
      <c r="C182" t="s">
        <v>34</v>
      </c>
      <c r="D182" t="str">
        <f t="shared" si="14"/>
        <v>2018-April</v>
      </c>
      <c r="E182" s="1">
        <v>4</v>
      </c>
      <c r="F182" s="1">
        <v>136.18</v>
      </c>
      <c r="G182" s="1">
        <v>145.41999999999999</v>
      </c>
      <c r="H182" s="1">
        <v>133.32</v>
      </c>
      <c r="I182" s="1">
        <v>141.58000000000001</v>
      </c>
      <c r="J182" s="1">
        <v>120.22</v>
      </c>
      <c r="K182" s="1">
        <v>153.76</v>
      </c>
      <c r="L182" s="1">
        <v>132.9</v>
      </c>
      <c r="M182" s="1">
        <v>121.18</v>
      </c>
      <c r="N182" s="1">
        <v>111.32</v>
      </c>
      <c r="O182" s="1">
        <v>138.52000000000001</v>
      </c>
      <c r="P182" s="1">
        <v>129.36000000000001</v>
      </c>
      <c r="Q182" s="1">
        <v>151.26</v>
      </c>
      <c r="R182" s="1">
        <v>137.45999999999998</v>
      </c>
      <c r="S182" s="1">
        <v>157.9</v>
      </c>
      <c r="T182" s="1">
        <v>144.52000000000001</v>
      </c>
      <c r="U182" s="1">
        <v>135.88</v>
      </c>
      <c r="V182" s="1">
        <v>143.21999999999997</v>
      </c>
      <c r="W182" s="1">
        <v>143</v>
      </c>
      <c r="X182" s="1">
        <v>134.78000000000003</v>
      </c>
      <c r="Y182" s="1">
        <v>136.72000000000003</v>
      </c>
      <c r="Z182" s="1">
        <v>134.9</v>
      </c>
      <c r="AA182" s="1">
        <v>122.46</v>
      </c>
      <c r="AB182" s="1">
        <v>131.94</v>
      </c>
      <c r="AC182" s="1">
        <v>141.91999999999999</v>
      </c>
      <c r="AD182" s="1">
        <v>129.30000000000001</v>
      </c>
      <c r="AE182" s="1">
        <v>131.54</v>
      </c>
      <c r="AF182" s="1">
        <v>137.23999999999998</v>
      </c>
      <c r="AG182" s="1">
        <f t="shared" si="15"/>
        <v>1752.4799999999998</v>
      </c>
      <c r="AH182" s="1">
        <f t="shared" si="16"/>
        <v>157.9</v>
      </c>
      <c r="AI182" s="1">
        <f t="shared" si="17"/>
        <v>423.61999999999995</v>
      </c>
      <c r="AJ182" s="1">
        <f t="shared" si="18"/>
        <v>143</v>
      </c>
      <c r="AK182" s="1">
        <f t="shared" si="19"/>
        <v>134.78000000000003</v>
      </c>
      <c r="AL182" s="1">
        <f t="shared" si="20"/>
        <v>928.78</v>
      </c>
    </row>
    <row r="183" spans="1:38" x14ac:dyDescent="0.3">
      <c r="A183" t="s">
        <v>30</v>
      </c>
      <c r="B183" s="1">
        <v>2018</v>
      </c>
      <c r="C183" t="s">
        <v>34</v>
      </c>
      <c r="D183" t="str">
        <f t="shared" si="14"/>
        <v>2018-April</v>
      </c>
      <c r="E183" s="1">
        <v>4</v>
      </c>
      <c r="F183" s="1">
        <v>136.08000000000001</v>
      </c>
      <c r="G183" s="1">
        <v>145.84</v>
      </c>
      <c r="H183" s="1">
        <v>132.86000000000001</v>
      </c>
      <c r="I183" s="1">
        <v>141.52000000000001</v>
      </c>
      <c r="J183" s="1">
        <v>119.72</v>
      </c>
      <c r="K183" s="1">
        <v>153.4</v>
      </c>
      <c r="L183" s="1">
        <v>133</v>
      </c>
      <c r="M183" s="1">
        <v>119.96</v>
      </c>
      <c r="N183" s="1">
        <v>110.2</v>
      </c>
      <c r="O183" s="1">
        <v>138.69999999999999</v>
      </c>
      <c r="P183" s="1">
        <v>128.95999999999998</v>
      </c>
      <c r="Q183" s="1">
        <v>150.84</v>
      </c>
      <c r="R183" s="1">
        <v>137.35999999999999</v>
      </c>
      <c r="S183" s="1">
        <v>158.26000000000002</v>
      </c>
      <c r="T183" s="1">
        <v>143.69999999999999</v>
      </c>
      <c r="U183" s="1">
        <v>134.69999999999999</v>
      </c>
      <c r="V183" s="1">
        <v>142.34</v>
      </c>
      <c r="W183" s="1">
        <v>143.05000000000001</v>
      </c>
      <c r="X183" s="1">
        <v>133.4</v>
      </c>
      <c r="Y183" s="1">
        <v>136.02000000000001</v>
      </c>
      <c r="Z183" s="1">
        <v>134.57999999999998</v>
      </c>
      <c r="AA183" s="1">
        <v>121.98000000000002</v>
      </c>
      <c r="AB183" s="1">
        <v>131.1</v>
      </c>
      <c r="AC183" s="1">
        <v>141.6</v>
      </c>
      <c r="AD183" s="1">
        <v>129.19999999999999</v>
      </c>
      <c r="AE183" s="1">
        <v>131.12</v>
      </c>
      <c r="AF183" s="1">
        <v>136.98000000000002</v>
      </c>
      <c r="AG183" s="1">
        <f t="shared" si="15"/>
        <v>1748.44</v>
      </c>
      <c r="AH183" s="1">
        <f t="shared" si="16"/>
        <v>158.26000000000002</v>
      </c>
      <c r="AI183" s="1">
        <f t="shared" si="17"/>
        <v>420.74</v>
      </c>
      <c r="AJ183" s="1">
        <f t="shared" si="18"/>
        <v>143.05000000000001</v>
      </c>
      <c r="AK183" s="1">
        <f t="shared" si="19"/>
        <v>133.4</v>
      </c>
      <c r="AL183" s="1">
        <f t="shared" si="20"/>
        <v>925.6</v>
      </c>
    </row>
    <row r="184" spans="1:38" x14ac:dyDescent="0.3">
      <c r="A184" t="s">
        <v>31</v>
      </c>
      <c r="B184" s="1">
        <v>2018</v>
      </c>
      <c r="C184" t="s">
        <v>34</v>
      </c>
      <c r="D184" t="str">
        <f t="shared" si="14"/>
        <v>2018-April</v>
      </c>
      <c r="E184" s="1">
        <v>4</v>
      </c>
      <c r="F184" s="1">
        <v>136.6</v>
      </c>
      <c r="G184" s="1">
        <v>146.6</v>
      </c>
      <c r="H184" s="1">
        <v>134.04</v>
      </c>
      <c r="I184" s="1">
        <v>142.1</v>
      </c>
      <c r="J184" s="1">
        <v>121.2</v>
      </c>
      <c r="K184" s="1">
        <v>154.19999999999999</v>
      </c>
      <c r="L184" s="1">
        <v>136.18</v>
      </c>
      <c r="M184" s="1">
        <v>122.36</v>
      </c>
      <c r="N184" s="1">
        <v>110.56</v>
      </c>
      <c r="O184" s="1">
        <v>138.18</v>
      </c>
      <c r="P184" s="1">
        <v>130.21999999999997</v>
      </c>
      <c r="Q184" s="1">
        <v>152.04000000000002</v>
      </c>
      <c r="R184" s="1">
        <v>138.22</v>
      </c>
      <c r="S184" s="1">
        <v>157.88000000000002</v>
      </c>
      <c r="T184" s="1">
        <v>146.4</v>
      </c>
      <c r="U184" s="1">
        <v>138.16</v>
      </c>
      <c r="V184" s="1">
        <v>145.16</v>
      </c>
      <c r="W184" s="1">
        <v>143.1</v>
      </c>
      <c r="X184" s="1">
        <v>137.5</v>
      </c>
      <c r="Y184" s="1">
        <v>138.1</v>
      </c>
      <c r="Z184" s="1">
        <v>136</v>
      </c>
      <c r="AA184" s="1">
        <v>123.67999999999999</v>
      </c>
      <c r="AB184" s="1">
        <v>133.14000000000001</v>
      </c>
      <c r="AC184" s="1">
        <v>142.68</v>
      </c>
      <c r="AD184" s="1">
        <v>129.95999999999998</v>
      </c>
      <c r="AE184" s="1">
        <v>132.6</v>
      </c>
      <c r="AF184" s="1">
        <v>138.11999999999998</v>
      </c>
      <c r="AG184" s="1">
        <f t="shared" si="15"/>
        <v>1762.5</v>
      </c>
      <c r="AH184" s="1">
        <f t="shared" si="16"/>
        <v>157.88000000000002</v>
      </c>
      <c r="AI184" s="1">
        <f t="shared" si="17"/>
        <v>429.72</v>
      </c>
      <c r="AJ184" s="1">
        <f t="shared" si="18"/>
        <v>143.1</v>
      </c>
      <c r="AK184" s="1">
        <f t="shared" si="19"/>
        <v>137.5</v>
      </c>
      <c r="AL184" s="1">
        <f t="shared" si="20"/>
        <v>936.1600000000002</v>
      </c>
    </row>
    <row r="185" spans="1:38" x14ac:dyDescent="0.3">
      <c r="A185" t="s">
        <v>28</v>
      </c>
      <c r="B185" s="1">
        <v>2018</v>
      </c>
      <c r="C185" t="s">
        <v>33</v>
      </c>
      <c r="D185" t="str">
        <f t="shared" si="14"/>
        <v>2018-March</v>
      </c>
      <c r="E185" s="1">
        <v>3</v>
      </c>
      <c r="F185" s="1">
        <v>136.02000000000001</v>
      </c>
      <c r="G185" s="1">
        <v>143.86000000000001</v>
      </c>
      <c r="H185" s="1">
        <v>136.1</v>
      </c>
      <c r="I185" s="1">
        <v>141.16</v>
      </c>
      <c r="J185" s="1">
        <v>120.1</v>
      </c>
      <c r="K185" s="1">
        <v>148.82</v>
      </c>
      <c r="L185" s="1">
        <v>132.66</v>
      </c>
      <c r="M185" s="1">
        <v>122.36</v>
      </c>
      <c r="N185" s="1">
        <v>114.64</v>
      </c>
      <c r="O185" s="1">
        <v>138.44</v>
      </c>
      <c r="P185" s="1">
        <v>128.97999999999999</v>
      </c>
      <c r="Q185" s="1">
        <v>150.57999999999998</v>
      </c>
      <c r="R185" s="1">
        <v>136.97999999999996</v>
      </c>
      <c r="S185" s="1">
        <v>157.27999999999997</v>
      </c>
      <c r="T185" s="1">
        <v>143.61999999999998</v>
      </c>
      <c r="U185" s="1">
        <v>135.32</v>
      </c>
      <c r="V185" s="1">
        <v>142.38000000000002</v>
      </c>
      <c r="W185" s="1">
        <v>142.29999999999998</v>
      </c>
      <c r="X185" s="1">
        <v>134.78</v>
      </c>
      <c r="Y185" s="1">
        <v>135.80000000000001</v>
      </c>
      <c r="Z185" s="1">
        <v>134.08000000000001</v>
      </c>
      <c r="AA185" s="1">
        <v>121.52000000000001</v>
      </c>
      <c r="AB185" s="1">
        <v>131.18</v>
      </c>
      <c r="AC185" s="1">
        <v>140.74</v>
      </c>
      <c r="AD185" s="1">
        <v>128.44</v>
      </c>
      <c r="AE185" s="1">
        <v>130.61999999999998</v>
      </c>
      <c r="AF185" s="1">
        <v>136.61999999999998</v>
      </c>
      <c r="AG185" s="1">
        <f t="shared" si="15"/>
        <v>1750.7</v>
      </c>
      <c r="AH185" s="1">
        <f t="shared" si="16"/>
        <v>157.27999999999997</v>
      </c>
      <c r="AI185" s="1">
        <f t="shared" si="17"/>
        <v>421.31999999999994</v>
      </c>
      <c r="AJ185" s="1">
        <f t="shared" si="18"/>
        <v>142.29999999999998</v>
      </c>
      <c r="AK185" s="1">
        <f t="shared" si="19"/>
        <v>134.78</v>
      </c>
      <c r="AL185" s="1">
        <f t="shared" si="20"/>
        <v>922.38</v>
      </c>
    </row>
    <row r="186" spans="1:38" x14ac:dyDescent="0.3">
      <c r="A186" t="s">
        <v>30</v>
      </c>
      <c r="B186" s="1">
        <v>2018</v>
      </c>
      <c r="C186" t="s">
        <v>33</v>
      </c>
      <c r="D186" t="str">
        <f t="shared" si="14"/>
        <v>2018-March</v>
      </c>
      <c r="E186" s="1">
        <v>3</v>
      </c>
      <c r="F186" s="1">
        <v>135.94</v>
      </c>
      <c r="G186" s="1">
        <v>143.97999999999999</v>
      </c>
      <c r="H186" s="1">
        <v>134.88</v>
      </c>
      <c r="I186" s="1">
        <v>141.08000000000001</v>
      </c>
      <c r="J186" s="1">
        <v>119.66</v>
      </c>
      <c r="K186" s="1">
        <v>148.94</v>
      </c>
      <c r="L186" s="1">
        <v>131.58000000000001</v>
      </c>
      <c r="M186" s="1">
        <v>121.2</v>
      </c>
      <c r="N186" s="1">
        <v>113.96</v>
      </c>
      <c r="O186" s="1">
        <v>138.82</v>
      </c>
      <c r="P186" s="1">
        <v>128.66000000000003</v>
      </c>
      <c r="Q186" s="1">
        <v>150.26</v>
      </c>
      <c r="R186" s="1">
        <v>136.76</v>
      </c>
      <c r="S186" s="1">
        <v>157.63999999999999</v>
      </c>
      <c r="T186" s="1">
        <v>142.84</v>
      </c>
      <c r="U186" s="1">
        <v>134.06</v>
      </c>
      <c r="V186" s="1">
        <v>141.51999999999998</v>
      </c>
      <c r="W186" s="1">
        <v>142.44999999999999</v>
      </c>
      <c r="X186" s="1">
        <v>133.56</v>
      </c>
      <c r="Y186" s="1">
        <v>135.13999999999999</v>
      </c>
      <c r="Z186" s="1">
        <v>133.78000000000003</v>
      </c>
      <c r="AA186" s="1">
        <v>120.97999999999999</v>
      </c>
      <c r="AB186" s="1">
        <v>130.41999999999999</v>
      </c>
      <c r="AC186" s="1">
        <v>140.47999999999999</v>
      </c>
      <c r="AD186" s="1">
        <v>128.41999999999999</v>
      </c>
      <c r="AE186" s="1">
        <v>130.21999999999997</v>
      </c>
      <c r="AF186" s="1">
        <v>136.30000000000001</v>
      </c>
      <c r="AG186" s="1">
        <f t="shared" si="15"/>
        <v>1745.72</v>
      </c>
      <c r="AH186" s="1">
        <f t="shared" si="16"/>
        <v>157.63999999999999</v>
      </c>
      <c r="AI186" s="1">
        <f t="shared" si="17"/>
        <v>418.41999999999996</v>
      </c>
      <c r="AJ186" s="1">
        <f t="shared" si="18"/>
        <v>142.44999999999999</v>
      </c>
      <c r="AK186" s="1">
        <f t="shared" si="19"/>
        <v>133.56</v>
      </c>
      <c r="AL186" s="1">
        <f t="shared" si="20"/>
        <v>919.43999999999983</v>
      </c>
    </row>
    <row r="187" spans="1:38" x14ac:dyDescent="0.3">
      <c r="A187" t="s">
        <v>31</v>
      </c>
      <c r="B187" s="1">
        <v>2018</v>
      </c>
      <c r="C187" t="s">
        <v>33</v>
      </c>
      <c r="D187" t="str">
        <f t="shared" si="14"/>
        <v>2018-March</v>
      </c>
      <c r="E187" s="1">
        <v>3</v>
      </c>
      <c r="F187" s="1">
        <v>136.41999999999999</v>
      </c>
      <c r="G187" s="1">
        <v>144.5</v>
      </c>
      <c r="H187" s="1">
        <v>134.88</v>
      </c>
      <c r="I187" s="1">
        <v>141.68</v>
      </c>
      <c r="J187" s="1">
        <v>121.08</v>
      </c>
      <c r="K187" s="1">
        <v>152.74</v>
      </c>
      <c r="L187" s="1">
        <v>133.54</v>
      </c>
      <c r="M187" s="1">
        <v>123.54</v>
      </c>
      <c r="N187" s="1">
        <v>113.48</v>
      </c>
      <c r="O187" s="1">
        <v>138.16</v>
      </c>
      <c r="P187" s="1">
        <v>129.85999999999999</v>
      </c>
      <c r="Q187" s="1">
        <v>151.6</v>
      </c>
      <c r="R187" s="1">
        <v>137.62</v>
      </c>
      <c r="S187" s="1">
        <v>157.1</v>
      </c>
      <c r="T187" s="1">
        <v>145.66</v>
      </c>
      <c r="U187" s="1">
        <v>137.54</v>
      </c>
      <c r="V187" s="1">
        <v>144.44</v>
      </c>
      <c r="W187" s="1">
        <v>142.6</v>
      </c>
      <c r="X187" s="1">
        <v>137.14000000000001</v>
      </c>
      <c r="Y187" s="1">
        <v>137.34</v>
      </c>
      <c r="Z187" s="1">
        <v>135.35999999999999</v>
      </c>
      <c r="AA187" s="1">
        <v>122.7</v>
      </c>
      <c r="AB187" s="1">
        <v>132.41999999999999</v>
      </c>
      <c r="AC187" s="1">
        <v>141.80000000000001</v>
      </c>
      <c r="AD187" s="1">
        <v>129.32000000000002</v>
      </c>
      <c r="AE187" s="1">
        <v>131.82</v>
      </c>
      <c r="AF187" s="1">
        <v>137.45999999999998</v>
      </c>
      <c r="AG187" s="1">
        <f t="shared" si="15"/>
        <v>1759.1</v>
      </c>
      <c r="AH187" s="1">
        <f t="shared" si="16"/>
        <v>157.1</v>
      </c>
      <c r="AI187" s="1">
        <f t="shared" si="17"/>
        <v>427.64</v>
      </c>
      <c r="AJ187" s="1">
        <f t="shared" si="18"/>
        <v>142.6</v>
      </c>
      <c r="AK187" s="1">
        <f t="shared" si="19"/>
        <v>137.14000000000001</v>
      </c>
      <c r="AL187" s="1">
        <f t="shared" si="20"/>
        <v>930.76</v>
      </c>
    </row>
    <row r="188" spans="1:38" x14ac:dyDescent="0.3">
      <c r="A188" t="s">
        <v>28</v>
      </c>
      <c r="B188" s="1">
        <v>2018</v>
      </c>
      <c r="C188" t="s">
        <v>32</v>
      </c>
      <c r="D188" t="str">
        <f t="shared" si="14"/>
        <v>2018-February</v>
      </c>
      <c r="E188" s="1">
        <v>2</v>
      </c>
      <c r="F188" s="1">
        <v>135.78</v>
      </c>
      <c r="G188" s="1">
        <v>143.41999999999999</v>
      </c>
      <c r="H188" s="1">
        <v>139.26</v>
      </c>
      <c r="I188" s="1">
        <v>140.84</v>
      </c>
      <c r="J188" s="1">
        <v>119.84</v>
      </c>
      <c r="K188" s="1">
        <v>143.84</v>
      </c>
      <c r="L188" s="1">
        <v>137.16</v>
      </c>
      <c r="M188" s="1">
        <v>123.56</v>
      </c>
      <c r="N188" s="1">
        <v>116.34</v>
      </c>
      <c r="O188" s="1">
        <v>138.11999999999998</v>
      </c>
      <c r="P188" s="1">
        <v>128.48000000000002</v>
      </c>
      <c r="Q188" s="1">
        <v>149.76000000000002</v>
      </c>
      <c r="R188" s="1">
        <v>137.06</v>
      </c>
      <c r="S188" s="1">
        <v>156.45999999999998</v>
      </c>
      <c r="T188" s="1">
        <v>142.94</v>
      </c>
      <c r="U188" s="1">
        <v>134.76000000000002</v>
      </c>
      <c r="V188" s="1">
        <v>141.72000000000003</v>
      </c>
      <c r="W188" s="1">
        <v>141.53333333333333</v>
      </c>
      <c r="X188" s="1">
        <v>135.07999999999998</v>
      </c>
      <c r="Y188" s="1">
        <v>135.14000000000001</v>
      </c>
      <c r="Z188" s="1">
        <v>133.4</v>
      </c>
      <c r="AA188" s="1">
        <v>120.66</v>
      </c>
      <c r="AB188" s="1">
        <v>130.52000000000001</v>
      </c>
      <c r="AC188" s="1">
        <v>139.64000000000001</v>
      </c>
      <c r="AD188" s="1">
        <v>127.74000000000001</v>
      </c>
      <c r="AE188" s="1">
        <v>129.80000000000001</v>
      </c>
      <c r="AF188" s="1">
        <v>136.32</v>
      </c>
      <c r="AG188" s="1">
        <f t="shared" si="15"/>
        <v>1753.4599999999998</v>
      </c>
      <c r="AH188" s="1">
        <f t="shared" si="16"/>
        <v>156.45999999999998</v>
      </c>
      <c r="AI188" s="1">
        <f t="shared" si="17"/>
        <v>419.42000000000007</v>
      </c>
      <c r="AJ188" s="1">
        <f t="shared" si="18"/>
        <v>141.53333333333333</v>
      </c>
      <c r="AK188" s="1">
        <f t="shared" si="19"/>
        <v>135.07999999999998</v>
      </c>
      <c r="AL188" s="1">
        <f t="shared" si="20"/>
        <v>916.90000000000009</v>
      </c>
    </row>
    <row r="189" spans="1:38" x14ac:dyDescent="0.3">
      <c r="A189" t="s">
        <v>30</v>
      </c>
      <c r="B189" s="1">
        <v>2018</v>
      </c>
      <c r="C189" t="s">
        <v>32</v>
      </c>
      <c r="D189" t="str">
        <f t="shared" si="14"/>
        <v>2018-February</v>
      </c>
      <c r="E189" s="1">
        <v>2</v>
      </c>
      <c r="F189" s="1">
        <v>135.74</v>
      </c>
      <c r="G189" s="1">
        <v>143.4</v>
      </c>
      <c r="H189" s="1">
        <v>138.80000000000001</v>
      </c>
      <c r="I189" s="1">
        <v>140.78</v>
      </c>
      <c r="J189" s="1">
        <v>119.4</v>
      </c>
      <c r="K189" s="1">
        <v>143.19999999999999</v>
      </c>
      <c r="L189" s="1">
        <v>135.6</v>
      </c>
      <c r="M189" s="1">
        <v>122.44</v>
      </c>
      <c r="N189" s="1">
        <v>115.98</v>
      </c>
      <c r="O189" s="1">
        <v>138.56</v>
      </c>
      <c r="P189" s="1">
        <v>128.19999999999999</v>
      </c>
      <c r="Q189" s="1">
        <v>149.5</v>
      </c>
      <c r="R189" s="1">
        <v>136.76</v>
      </c>
      <c r="S189" s="1">
        <v>157.06</v>
      </c>
      <c r="T189" s="1">
        <v>142.06</v>
      </c>
      <c r="U189" s="1">
        <v>133.51999999999998</v>
      </c>
      <c r="V189" s="1">
        <v>140.78</v>
      </c>
      <c r="W189" s="1">
        <v>141.65</v>
      </c>
      <c r="X189" s="1">
        <v>133.9</v>
      </c>
      <c r="Y189" s="1">
        <v>134.28</v>
      </c>
      <c r="Z189" s="1">
        <v>133.01999999999998</v>
      </c>
      <c r="AA189" s="1">
        <v>120.2</v>
      </c>
      <c r="AB189" s="1">
        <v>129.73999999999998</v>
      </c>
      <c r="AC189" s="1">
        <v>139.30000000000001</v>
      </c>
      <c r="AD189" s="1">
        <v>127.62</v>
      </c>
      <c r="AE189" s="1">
        <v>129.35999999999999</v>
      </c>
      <c r="AF189" s="1">
        <v>135.91999999999999</v>
      </c>
      <c r="AG189" s="1">
        <f t="shared" si="15"/>
        <v>1748.36</v>
      </c>
      <c r="AH189" s="1">
        <f t="shared" si="16"/>
        <v>157.06</v>
      </c>
      <c r="AI189" s="1">
        <f t="shared" si="17"/>
        <v>416.36</v>
      </c>
      <c r="AJ189" s="1">
        <f t="shared" si="18"/>
        <v>141.65</v>
      </c>
      <c r="AK189" s="1">
        <f t="shared" si="19"/>
        <v>133.9</v>
      </c>
      <c r="AL189" s="1">
        <f t="shared" si="20"/>
        <v>913.52</v>
      </c>
    </row>
    <row r="190" spans="1:38" x14ac:dyDescent="0.3">
      <c r="A190" t="s">
        <v>31</v>
      </c>
      <c r="B190" s="1">
        <v>2018</v>
      </c>
      <c r="C190" t="s">
        <v>32</v>
      </c>
      <c r="D190" t="str">
        <f t="shared" si="14"/>
        <v>2018-February</v>
      </c>
      <c r="E190" s="1">
        <v>2</v>
      </c>
      <c r="F190" s="1">
        <v>136.19999999999999</v>
      </c>
      <c r="G190" s="1">
        <v>143.69999999999999</v>
      </c>
      <c r="H190" s="1">
        <v>138</v>
      </c>
      <c r="I190" s="1">
        <v>141.28</v>
      </c>
      <c r="J190" s="1">
        <v>120.86</v>
      </c>
      <c r="K190" s="1">
        <v>147.38</v>
      </c>
      <c r="L190" s="1">
        <v>135.24</v>
      </c>
      <c r="M190" s="1">
        <v>124.72</v>
      </c>
      <c r="N190" s="1">
        <v>115.94</v>
      </c>
      <c r="O190" s="1">
        <v>137.85999999999999</v>
      </c>
      <c r="P190" s="1">
        <v>129.39999999999998</v>
      </c>
      <c r="Q190" s="1">
        <v>150.84</v>
      </c>
      <c r="R190" s="1">
        <v>137.36000000000001</v>
      </c>
      <c r="S190" s="1">
        <v>156.42000000000002</v>
      </c>
      <c r="T190" s="1">
        <v>144.82</v>
      </c>
      <c r="U190" s="1">
        <v>136.95999999999998</v>
      </c>
      <c r="V190" s="1">
        <v>143.66</v>
      </c>
      <c r="W190" s="1">
        <v>141.76666666666668</v>
      </c>
      <c r="X190" s="1">
        <v>137.19999999999999</v>
      </c>
      <c r="Y190" s="1">
        <v>136.47999999999999</v>
      </c>
      <c r="Z190" s="1">
        <v>134.57999999999998</v>
      </c>
      <c r="AA190" s="1">
        <v>121.78</v>
      </c>
      <c r="AB190" s="1">
        <v>131.64000000000001</v>
      </c>
      <c r="AC190" s="1">
        <v>140.6</v>
      </c>
      <c r="AD190" s="1">
        <v>128.45999999999998</v>
      </c>
      <c r="AE190" s="1">
        <v>130.9</v>
      </c>
      <c r="AF190" s="1">
        <v>136.94</v>
      </c>
      <c r="AG190" s="1">
        <f t="shared" si="15"/>
        <v>1758.7799999999997</v>
      </c>
      <c r="AH190" s="1">
        <f t="shared" si="16"/>
        <v>156.42000000000002</v>
      </c>
      <c r="AI190" s="1">
        <f t="shared" si="17"/>
        <v>425.43999999999994</v>
      </c>
      <c r="AJ190" s="1">
        <f t="shared" si="18"/>
        <v>141.76666666666668</v>
      </c>
      <c r="AK190" s="1">
        <f t="shared" si="19"/>
        <v>137.19999999999999</v>
      </c>
      <c r="AL190" s="1">
        <f t="shared" si="20"/>
        <v>924.43999999999994</v>
      </c>
    </row>
    <row r="191" spans="1:38" x14ac:dyDescent="0.3">
      <c r="A191" t="s">
        <v>28</v>
      </c>
      <c r="B191" s="1">
        <v>2018</v>
      </c>
      <c r="C191" t="s">
        <v>29</v>
      </c>
      <c r="D191" t="str">
        <f t="shared" si="14"/>
        <v>2018-January</v>
      </c>
      <c r="E191" s="1">
        <v>1</v>
      </c>
      <c r="F191" s="1">
        <v>135.68</v>
      </c>
      <c r="G191" s="1">
        <v>143.80000000000001</v>
      </c>
      <c r="H191" s="1">
        <v>142.32</v>
      </c>
      <c r="I191" s="1">
        <v>140.82</v>
      </c>
      <c r="J191" s="1">
        <v>119.88</v>
      </c>
      <c r="K191" s="1">
        <v>141.58000000000001</v>
      </c>
      <c r="L191" s="1">
        <v>146.69999999999999</v>
      </c>
      <c r="M191" s="1">
        <v>124.94</v>
      </c>
      <c r="N191" s="1">
        <v>117.78</v>
      </c>
      <c r="O191" s="1">
        <v>138.06</v>
      </c>
      <c r="P191" s="1">
        <v>128.5</v>
      </c>
      <c r="Q191" s="1">
        <v>149.38</v>
      </c>
      <c r="R191" s="1">
        <v>138.22</v>
      </c>
      <c r="S191" s="1">
        <v>155.71999999999997</v>
      </c>
      <c r="T191" s="1">
        <v>142.56</v>
      </c>
      <c r="U191" s="1">
        <v>134.44</v>
      </c>
      <c r="V191" s="1">
        <v>141.34</v>
      </c>
      <c r="W191" s="1">
        <v>140.70000000000002</v>
      </c>
      <c r="X191" s="1">
        <v>135.18</v>
      </c>
      <c r="Y191" s="1">
        <v>134.80000000000001</v>
      </c>
      <c r="Z191" s="1">
        <v>132.85999999999999</v>
      </c>
      <c r="AA191" s="1">
        <v>119.8</v>
      </c>
      <c r="AB191" s="1">
        <v>130.19999999999999</v>
      </c>
      <c r="AC191" s="1">
        <v>139.28000000000003</v>
      </c>
      <c r="AD191" s="1">
        <v>127.28</v>
      </c>
      <c r="AE191" s="1">
        <v>129.24</v>
      </c>
      <c r="AF191" s="1">
        <v>136.56</v>
      </c>
      <c r="AG191" s="1">
        <f t="shared" si="15"/>
        <v>1767.66</v>
      </c>
      <c r="AH191" s="1">
        <f t="shared" si="16"/>
        <v>155.71999999999997</v>
      </c>
      <c r="AI191" s="1">
        <f t="shared" si="17"/>
        <v>418.34000000000003</v>
      </c>
      <c r="AJ191" s="1">
        <f t="shared" si="18"/>
        <v>140.70000000000002</v>
      </c>
      <c r="AK191" s="1">
        <f t="shared" si="19"/>
        <v>135.18</v>
      </c>
      <c r="AL191" s="1">
        <f t="shared" si="20"/>
        <v>913.46</v>
      </c>
    </row>
    <row r="192" spans="1:38" x14ac:dyDescent="0.3">
      <c r="A192" t="s">
        <v>30</v>
      </c>
      <c r="B192" s="1">
        <v>2018</v>
      </c>
      <c r="C192" t="s">
        <v>29</v>
      </c>
      <c r="D192" t="str">
        <f t="shared" si="14"/>
        <v>2018-January</v>
      </c>
      <c r="E192" s="1">
        <v>1</v>
      </c>
      <c r="F192" s="1">
        <v>135.54</v>
      </c>
      <c r="G192" s="1">
        <v>143.62</v>
      </c>
      <c r="H192" s="1">
        <v>141.62</v>
      </c>
      <c r="I192" s="1">
        <v>140.6</v>
      </c>
      <c r="J192" s="1">
        <v>119.32</v>
      </c>
      <c r="K192" s="1">
        <v>140.58000000000001</v>
      </c>
      <c r="L192" s="1">
        <v>144.38</v>
      </c>
      <c r="M192" s="1">
        <v>123.74</v>
      </c>
      <c r="N192" s="1">
        <v>117.3</v>
      </c>
      <c r="O192" s="1">
        <v>138.32</v>
      </c>
      <c r="P192" s="1">
        <v>127.97999999999999</v>
      </c>
      <c r="Q192" s="1">
        <v>148.94</v>
      </c>
      <c r="R192" s="1">
        <v>137.66</v>
      </c>
      <c r="S192" s="1">
        <v>155.97999999999999</v>
      </c>
      <c r="T192" s="1">
        <v>141.66</v>
      </c>
      <c r="U192" s="1">
        <v>133.1</v>
      </c>
      <c r="V192" s="1">
        <v>140.36000000000001</v>
      </c>
      <c r="W192" s="1">
        <v>140.85000000000002</v>
      </c>
      <c r="X192" s="1">
        <v>134.06</v>
      </c>
      <c r="Y192" s="1">
        <v>133.87999999999997</v>
      </c>
      <c r="Z192" s="1">
        <v>132.41999999999999</v>
      </c>
      <c r="AA192" s="1">
        <v>119.3</v>
      </c>
      <c r="AB192" s="1">
        <v>129.32</v>
      </c>
      <c r="AC192" s="1">
        <v>138.76</v>
      </c>
      <c r="AD192" s="1">
        <v>127.1</v>
      </c>
      <c r="AE192" s="1">
        <v>128.69999999999999</v>
      </c>
      <c r="AF192" s="1">
        <v>135.97999999999999</v>
      </c>
      <c r="AG192" s="1">
        <f t="shared" si="15"/>
        <v>1759.6000000000001</v>
      </c>
      <c r="AH192" s="1">
        <f t="shared" si="16"/>
        <v>155.97999999999999</v>
      </c>
      <c r="AI192" s="1">
        <f t="shared" si="17"/>
        <v>415.12</v>
      </c>
      <c r="AJ192" s="1">
        <f t="shared" si="18"/>
        <v>140.85000000000002</v>
      </c>
      <c r="AK192" s="1">
        <f t="shared" si="19"/>
        <v>134.06</v>
      </c>
      <c r="AL192" s="1">
        <f t="shared" si="20"/>
        <v>909.48</v>
      </c>
    </row>
    <row r="193" spans="1:38" x14ac:dyDescent="0.3">
      <c r="A193" t="s">
        <v>31</v>
      </c>
      <c r="B193" s="1">
        <v>2018</v>
      </c>
      <c r="C193" t="s">
        <v>29</v>
      </c>
      <c r="D193" t="str">
        <f t="shared" si="14"/>
        <v>2018-January</v>
      </c>
      <c r="E193" s="1">
        <v>1</v>
      </c>
      <c r="F193" s="1">
        <v>135.97999999999999</v>
      </c>
      <c r="G193" s="1">
        <v>143.63999999999999</v>
      </c>
      <c r="H193" s="1">
        <v>140.9</v>
      </c>
      <c r="I193" s="1">
        <v>141.08000000000001</v>
      </c>
      <c r="J193" s="1">
        <v>120.68</v>
      </c>
      <c r="K193" s="1">
        <v>144.4</v>
      </c>
      <c r="L193" s="1">
        <v>141.88</v>
      </c>
      <c r="M193" s="1">
        <v>125.92</v>
      </c>
      <c r="N193" s="1">
        <v>117.26</v>
      </c>
      <c r="O193" s="1">
        <v>137.48000000000002</v>
      </c>
      <c r="P193" s="1">
        <v>129.04000000000002</v>
      </c>
      <c r="Q193" s="1">
        <v>150.14000000000001</v>
      </c>
      <c r="R193" s="1">
        <v>137.94</v>
      </c>
      <c r="S193" s="1">
        <v>155.46</v>
      </c>
      <c r="T193" s="1">
        <v>144.30000000000001</v>
      </c>
      <c r="U193" s="1">
        <v>136.52000000000001</v>
      </c>
      <c r="V193" s="1">
        <v>143.14000000000001</v>
      </c>
      <c r="W193" s="1">
        <v>141.00000000000003</v>
      </c>
      <c r="X193" s="1">
        <v>137.12</v>
      </c>
      <c r="Y193" s="1">
        <v>135.96</v>
      </c>
      <c r="Z193" s="1">
        <v>133.95999999999998</v>
      </c>
      <c r="AA193" s="1">
        <v>120.96</v>
      </c>
      <c r="AB193" s="1">
        <v>131.1</v>
      </c>
      <c r="AC193" s="1">
        <v>139.88000000000002</v>
      </c>
      <c r="AD193" s="1">
        <v>127.85999999999999</v>
      </c>
      <c r="AE193" s="1">
        <v>130.19999999999999</v>
      </c>
      <c r="AF193" s="1">
        <v>136.9</v>
      </c>
      <c r="AG193" s="1">
        <f t="shared" si="15"/>
        <v>1766.3400000000001</v>
      </c>
      <c r="AH193" s="1">
        <f t="shared" si="16"/>
        <v>155.46</v>
      </c>
      <c r="AI193" s="1">
        <f t="shared" si="17"/>
        <v>423.96000000000004</v>
      </c>
      <c r="AJ193" s="1">
        <f t="shared" si="18"/>
        <v>141.00000000000003</v>
      </c>
      <c r="AK193" s="1">
        <f t="shared" si="19"/>
        <v>137.12</v>
      </c>
      <c r="AL193" s="1">
        <f t="shared" si="20"/>
        <v>919.91999999999985</v>
      </c>
    </row>
    <row r="194" spans="1:38" x14ac:dyDescent="0.3">
      <c r="A194" t="s">
        <v>28</v>
      </c>
      <c r="B194" s="1">
        <v>2017</v>
      </c>
      <c r="C194" t="s">
        <v>43</v>
      </c>
      <c r="D194" t="str">
        <f t="shared" si="14"/>
        <v>2017-December</v>
      </c>
      <c r="E194" s="1">
        <v>12</v>
      </c>
      <c r="F194" s="1">
        <v>135.56</v>
      </c>
      <c r="G194" s="1">
        <v>143.54</v>
      </c>
      <c r="H194" s="1">
        <v>144.66</v>
      </c>
      <c r="I194" s="1">
        <v>140.80000000000001</v>
      </c>
      <c r="J194" s="1">
        <v>119.82</v>
      </c>
      <c r="K194" s="1">
        <v>141.08000000000001</v>
      </c>
      <c r="L194" s="1">
        <v>157.69999999999999</v>
      </c>
      <c r="M194" s="1">
        <v>126.58</v>
      </c>
      <c r="N194" s="1">
        <v>120.18</v>
      </c>
      <c r="O194" s="1">
        <v>137.82</v>
      </c>
      <c r="P194" s="1">
        <v>128.54</v>
      </c>
      <c r="Q194" s="1">
        <v>149.06</v>
      </c>
      <c r="R194" s="1">
        <v>139.68</v>
      </c>
      <c r="S194" s="1">
        <v>155.14000000000001</v>
      </c>
      <c r="T194" s="1">
        <v>142.19999999999999</v>
      </c>
      <c r="U194" s="1">
        <v>134.16000000000003</v>
      </c>
      <c r="V194" s="1">
        <v>141.02000000000001</v>
      </c>
      <c r="W194" s="1">
        <v>139.53333333333333</v>
      </c>
      <c r="X194" s="1">
        <v>135.11999999999998</v>
      </c>
      <c r="Y194" s="1">
        <v>134.56</v>
      </c>
      <c r="Z194" s="1">
        <v>132.47999999999999</v>
      </c>
      <c r="AA194" s="1">
        <v>118.96</v>
      </c>
      <c r="AB194" s="1">
        <v>129.69999999999999</v>
      </c>
      <c r="AC194" s="1">
        <v>139</v>
      </c>
      <c r="AD194" s="1">
        <v>126.6</v>
      </c>
      <c r="AE194" s="1">
        <v>128.74</v>
      </c>
      <c r="AF194" s="1">
        <v>136.9</v>
      </c>
      <c r="AG194" s="1">
        <f t="shared" si="15"/>
        <v>1785.0199999999998</v>
      </c>
      <c r="AH194" s="1">
        <f t="shared" si="16"/>
        <v>155.14000000000001</v>
      </c>
      <c r="AI194" s="1">
        <f t="shared" si="17"/>
        <v>417.38</v>
      </c>
      <c r="AJ194" s="1">
        <f t="shared" si="18"/>
        <v>139.53333333333333</v>
      </c>
      <c r="AK194" s="1">
        <f t="shared" si="19"/>
        <v>135.11999999999998</v>
      </c>
      <c r="AL194" s="1">
        <f t="shared" si="20"/>
        <v>910.04</v>
      </c>
    </row>
    <row r="195" spans="1:38" x14ac:dyDescent="0.3">
      <c r="A195" t="s">
        <v>30</v>
      </c>
      <c r="B195" s="1">
        <v>2017</v>
      </c>
      <c r="C195" t="s">
        <v>43</v>
      </c>
      <c r="D195" t="str">
        <f t="shared" ref="D195:D258" si="21">CONCATENATE(B195,"-",C195)</f>
        <v>2017-December</v>
      </c>
      <c r="E195" s="1">
        <v>12</v>
      </c>
      <c r="F195" s="1">
        <v>135.47999999999999</v>
      </c>
      <c r="G195" s="1">
        <v>143.63999999999999</v>
      </c>
      <c r="H195" s="1">
        <v>144.44</v>
      </c>
      <c r="I195" s="1">
        <v>140.63999999999999</v>
      </c>
      <c r="J195" s="1">
        <v>119.34</v>
      </c>
      <c r="K195" s="1">
        <v>139.9</v>
      </c>
      <c r="L195" s="1">
        <v>155.82</v>
      </c>
      <c r="M195" s="1">
        <v>125.28</v>
      </c>
      <c r="N195" s="1">
        <v>119.56</v>
      </c>
      <c r="O195" s="1">
        <v>138.16</v>
      </c>
      <c r="P195" s="1">
        <v>128.12</v>
      </c>
      <c r="Q195" s="1">
        <v>148.68</v>
      </c>
      <c r="R195" s="1">
        <v>139.22000000000003</v>
      </c>
      <c r="S195" s="1">
        <v>155.44</v>
      </c>
      <c r="T195" s="1">
        <v>141.30000000000001</v>
      </c>
      <c r="U195" s="1">
        <v>132.88</v>
      </c>
      <c r="V195" s="1">
        <v>140.04000000000002</v>
      </c>
      <c r="W195" s="1">
        <v>139.75</v>
      </c>
      <c r="X195" s="1">
        <v>133.92000000000002</v>
      </c>
      <c r="Y195" s="1">
        <v>133.63999999999999</v>
      </c>
      <c r="Z195" s="1">
        <v>131.91999999999999</v>
      </c>
      <c r="AA195" s="1">
        <v>118.42</v>
      </c>
      <c r="AB195" s="1">
        <v>128.95999999999998</v>
      </c>
      <c r="AC195" s="1">
        <v>138.57999999999998</v>
      </c>
      <c r="AD195" s="1">
        <v>126.5</v>
      </c>
      <c r="AE195" s="1">
        <v>128.18</v>
      </c>
      <c r="AF195" s="1">
        <v>136.32</v>
      </c>
      <c r="AG195" s="1">
        <f t="shared" ref="AG195:AG258" si="22">SUM(F195:R195)</f>
        <v>1778.2800000000002</v>
      </c>
      <c r="AH195" s="1">
        <f t="shared" ref="AH195:AH258" si="23">SUM(S195)</f>
        <v>155.44</v>
      </c>
      <c r="AI195" s="1">
        <f t="shared" ref="AI195:AI258" si="24">SUM(T195:V195)</f>
        <v>414.22</v>
      </c>
      <c r="AJ195" s="1">
        <f t="shared" ref="AJ195:AJ258" si="25">SUM(W195)</f>
        <v>139.75</v>
      </c>
      <c r="AK195" s="1">
        <f t="shared" ref="AK195:AK258" si="26">SUM(X195)</f>
        <v>133.92000000000002</v>
      </c>
      <c r="AL195" s="1">
        <f t="shared" ref="AL195:AL258" si="27">SUM(Y195:AE195)</f>
        <v>906.2</v>
      </c>
    </row>
    <row r="196" spans="1:38" x14ac:dyDescent="0.3">
      <c r="A196" t="s">
        <v>31</v>
      </c>
      <c r="B196" s="1">
        <v>2017</v>
      </c>
      <c r="C196" t="s">
        <v>43</v>
      </c>
      <c r="D196" t="str">
        <f t="shared" si="21"/>
        <v>2017-December</v>
      </c>
      <c r="E196" s="1">
        <v>12</v>
      </c>
      <c r="F196" s="1">
        <v>135.88</v>
      </c>
      <c r="G196" s="1">
        <v>143.86000000000001</v>
      </c>
      <c r="H196" s="1">
        <v>143.38</v>
      </c>
      <c r="I196" s="1">
        <v>141.04</v>
      </c>
      <c r="J196" s="1">
        <v>120.74</v>
      </c>
      <c r="K196" s="1">
        <v>142.78</v>
      </c>
      <c r="L196" s="1">
        <v>151.66</v>
      </c>
      <c r="M196" s="1">
        <v>127.36</v>
      </c>
      <c r="N196" s="1">
        <v>119</v>
      </c>
      <c r="O196" s="1">
        <v>137.34</v>
      </c>
      <c r="P196" s="1">
        <v>129.07999999999998</v>
      </c>
      <c r="Q196" s="1">
        <v>149.76</v>
      </c>
      <c r="R196" s="1">
        <v>139.19999999999999</v>
      </c>
      <c r="S196" s="1">
        <v>154.69999999999999</v>
      </c>
      <c r="T196" s="1">
        <v>143.91999999999999</v>
      </c>
      <c r="U196" s="1">
        <v>136.23999999999998</v>
      </c>
      <c r="V196" s="1">
        <v>142.80000000000001</v>
      </c>
      <c r="W196" s="1">
        <v>139.96666666666667</v>
      </c>
      <c r="X196" s="1">
        <v>137.04</v>
      </c>
      <c r="Y196" s="1">
        <v>135.76</v>
      </c>
      <c r="Z196" s="1">
        <v>133.52000000000004</v>
      </c>
      <c r="AA196" s="1">
        <v>120.02000000000001</v>
      </c>
      <c r="AB196" s="1">
        <v>130.69999999999999</v>
      </c>
      <c r="AC196" s="1">
        <v>139.54000000000002</v>
      </c>
      <c r="AD196" s="1">
        <v>127.34</v>
      </c>
      <c r="AE196" s="1">
        <v>129.66</v>
      </c>
      <c r="AF196" s="1">
        <v>137.19999999999999</v>
      </c>
      <c r="AG196" s="1">
        <f t="shared" si="22"/>
        <v>1781.0799999999997</v>
      </c>
      <c r="AH196" s="1">
        <f t="shared" si="23"/>
        <v>154.69999999999999</v>
      </c>
      <c r="AI196" s="1">
        <f t="shared" si="24"/>
        <v>422.96</v>
      </c>
      <c r="AJ196" s="1">
        <f t="shared" si="25"/>
        <v>139.96666666666667</v>
      </c>
      <c r="AK196" s="1">
        <f t="shared" si="26"/>
        <v>137.04</v>
      </c>
      <c r="AL196" s="1">
        <f t="shared" si="27"/>
        <v>916.54</v>
      </c>
    </row>
    <row r="197" spans="1:38" x14ac:dyDescent="0.3">
      <c r="A197" t="s">
        <v>28</v>
      </c>
      <c r="B197" s="1">
        <v>2017</v>
      </c>
      <c r="C197" t="s">
        <v>42</v>
      </c>
      <c r="D197" t="str">
        <f t="shared" si="21"/>
        <v>2017-November</v>
      </c>
      <c r="E197" s="1">
        <v>11</v>
      </c>
      <c r="F197" s="1">
        <v>135.41999999999999</v>
      </c>
      <c r="G197" s="1">
        <v>142.66</v>
      </c>
      <c r="H197" s="1">
        <v>144.16</v>
      </c>
      <c r="I197" s="1">
        <v>140.63999999999999</v>
      </c>
      <c r="J197" s="1">
        <v>119</v>
      </c>
      <c r="K197" s="1">
        <v>141.62</v>
      </c>
      <c r="L197" s="1">
        <v>170.24</v>
      </c>
      <c r="M197" s="1">
        <v>128.56</v>
      </c>
      <c r="N197" s="1">
        <v>122.4</v>
      </c>
      <c r="O197" s="1">
        <v>137.32000000000002</v>
      </c>
      <c r="P197" s="1">
        <v>128.66000000000003</v>
      </c>
      <c r="Q197" s="1">
        <v>148.80000000000001</v>
      </c>
      <c r="R197" s="1">
        <v>141.26</v>
      </c>
      <c r="S197" s="1">
        <v>154.33999999999997</v>
      </c>
      <c r="T197" s="1">
        <v>141.96</v>
      </c>
      <c r="U197" s="1">
        <v>133.84</v>
      </c>
      <c r="V197" s="1">
        <v>140.76</v>
      </c>
      <c r="W197" s="1">
        <v>138.76666666666665</v>
      </c>
      <c r="X197" s="1">
        <v>134.30000000000001</v>
      </c>
      <c r="Y197" s="1">
        <v>134.28000000000003</v>
      </c>
      <c r="Z197" s="1">
        <v>132.02000000000004</v>
      </c>
      <c r="AA197" s="1">
        <v>118.5</v>
      </c>
      <c r="AB197" s="1">
        <v>129.33999999999997</v>
      </c>
      <c r="AC197" s="1">
        <v>138.9</v>
      </c>
      <c r="AD197" s="1">
        <v>126.44000000000001</v>
      </c>
      <c r="AE197" s="1">
        <v>128.4</v>
      </c>
      <c r="AF197" s="1">
        <v>137.26000000000002</v>
      </c>
      <c r="AG197" s="1">
        <f t="shared" si="22"/>
        <v>1800.74</v>
      </c>
      <c r="AH197" s="1">
        <f t="shared" si="23"/>
        <v>154.33999999999997</v>
      </c>
      <c r="AI197" s="1">
        <f t="shared" si="24"/>
        <v>416.56</v>
      </c>
      <c r="AJ197" s="1">
        <f t="shared" si="25"/>
        <v>138.76666666666665</v>
      </c>
      <c r="AK197" s="1">
        <f t="shared" si="26"/>
        <v>134.30000000000001</v>
      </c>
      <c r="AL197" s="1">
        <f t="shared" si="27"/>
        <v>907.88000000000011</v>
      </c>
    </row>
    <row r="198" spans="1:38" x14ac:dyDescent="0.3">
      <c r="A198" t="s">
        <v>30</v>
      </c>
      <c r="B198" s="1">
        <v>2017</v>
      </c>
      <c r="C198" t="s">
        <v>42</v>
      </c>
      <c r="D198" t="str">
        <f t="shared" si="21"/>
        <v>2017-November</v>
      </c>
      <c r="E198" s="1">
        <v>11</v>
      </c>
      <c r="F198" s="1">
        <v>135.32</v>
      </c>
      <c r="G198" s="1">
        <v>142.82</v>
      </c>
      <c r="H198" s="1">
        <v>145.1</v>
      </c>
      <c r="I198" s="1">
        <v>140.54</v>
      </c>
      <c r="J198" s="1">
        <v>118.78</v>
      </c>
      <c r="K198" s="1">
        <v>140.46</v>
      </c>
      <c r="L198" s="1">
        <v>168.98</v>
      </c>
      <c r="M198" s="1">
        <v>127.22</v>
      </c>
      <c r="N198" s="1">
        <v>122.2</v>
      </c>
      <c r="O198" s="1">
        <v>137.54000000000002</v>
      </c>
      <c r="P198" s="1">
        <v>128.04000000000002</v>
      </c>
      <c r="Q198" s="1">
        <v>148.32</v>
      </c>
      <c r="R198" s="1">
        <v>140.88000000000002</v>
      </c>
      <c r="S198" s="1">
        <v>154.76</v>
      </c>
      <c r="T198" s="1">
        <v>140.94</v>
      </c>
      <c r="U198" s="1">
        <v>132.56</v>
      </c>
      <c r="V198" s="1">
        <v>139.69999999999999</v>
      </c>
      <c r="W198" s="1">
        <v>138.85</v>
      </c>
      <c r="X198" s="1">
        <v>133.4</v>
      </c>
      <c r="Y198" s="1">
        <v>133.34</v>
      </c>
      <c r="Z198" s="1">
        <v>131.47999999999999</v>
      </c>
      <c r="AA198" s="1">
        <v>117.88000000000002</v>
      </c>
      <c r="AB198" s="1">
        <v>128.4</v>
      </c>
      <c r="AC198" s="1">
        <v>138.30000000000001</v>
      </c>
      <c r="AD198" s="1">
        <v>126.12</v>
      </c>
      <c r="AE198" s="1">
        <v>127.78000000000002</v>
      </c>
      <c r="AF198" s="1">
        <v>136.69999999999999</v>
      </c>
      <c r="AG198" s="1">
        <f t="shared" si="22"/>
        <v>1796.2</v>
      </c>
      <c r="AH198" s="1">
        <f t="shared" si="23"/>
        <v>154.76</v>
      </c>
      <c r="AI198" s="1">
        <f t="shared" si="24"/>
        <v>413.2</v>
      </c>
      <c r="AJ198" s="1">
        <f t="shared" si="25"/>
        <v>138.85</v>
      </c>
      <c r="AK198" s="1">
        <f t="shared" si="26"/>
        <v>133.4</v>
      </c>
      <c r="AL198" s="1">
        <f t="shared" si="27"/>
        <v>903.30000000000007</v>
      </c>
    </row>
    <row r="199" spans="1:38" x14ac:dyDescent="0.3">
      <c r="A199" t="s">
        <v>31</v>
      </c>
      <c r="B199" s="1">
        <v>2017</v>
      </c>
      <c r="C199" t="s">
        <v>42</v>
      </c>
      <c r="D199" t="str">
        <f t="shared" si="21"/>
        <v>2017-November</v>
      </c>
      <c r="E199" s="1">
        <v>11</v>
      </c>
      <c r="F199" s="1">
        <v>135.78</v>
      </c>
      <c r="G199" s="1">
        <v>143.28</v>
      </c>
      <c r="H199" s="1">
        <v>144.52000000000001</v>
      </c>
      <c r="I199" s="1">
        <v>141.04</v>
      </c>
      <c r="J199" s="1">
        <v>120.38</v>
      </c>
      <c r="K199" s="1">
        <v>142.76</v>
      </c>
      <c r="L199" s="1">
        <v>162.36000000000001</v>
      </c>
      <c r="M199" s="1">
        <v>129.13999999999999</v>
      </c>
      <c r="N199" s="1">
        <v>121.32</v>
      </c>
      <c r="O199" s="1">
        <v>137.07999999999998</v>
      </c>
      <c r="P199" s="1">
        <v>129.19999999999999</v>
      </c>
      <c r="Q199" s="1">
        <v>149.48000000000002</v>
      </c>
      <c r="R199" s="1">
        <v>140.66000000000003</v>
      </c>
      <c r="S199" s="1">
        <v>154.23999999999998</v>
      </c>
      <c r="T199" s="1">
        <v>143.6</v>
      </c>
      <c r="U199" s="1">
        <v>135.94</v>
      </c>
      <c r="V199" s="1">
        <v>142.5</v>
      </c>
      <c r="W199" s="1">
        <v>138.93333333333331</v>
      </c>
      <c r="X199" s="1">
        <v>136.71999999999997</v>
      </c>
      <c r="Y199" s="1">
        <v>135.54000000000002</v>
      </c>
      <c r="Z199" s="1">
        <v>133.19999999999999</v>
      </c>
      <c r="AA199" s="1">
        <v>119.36000000000001</v>
      </c>
      <c r="AB199" s="1">
        <v>130.24</v>
      </c>
      <c r="AC199" s="1">
        <v>139.30000000000001</v>
      </c>
      <c r="AD199" s="1">
        <v>126.85999999999999</v>
      </c>
      <c r="AE199" s="1">
        <v>129.26</v>
      </c>
      <c r="AF199" s="1">
        <v>137.6</v>
      </c>
      <c r="AG199" s="1">
        <f t="shared" si="22"/>
        <v>1797</v>
      </c>
      <c r="AH199" s="1">
        <f t="shared" si="23"/>
        <v>154.23999999999998</v>
      </c>
      <c r="AI199" s="1">
        <f t="shared" si="24"/>
        <v>422.03999999999996</v>
      </c>
      <c r="AJ199" s="1">
        <f t="shared" si="25"/>
        <v>138.93333333333331</v>
      </c>
      <c r="AK199" s="1">
        <f t="shared" si="26"/>
        <v>136.71999999999997</v>
      </c>
      <c r="AL199" s="1">
        <f t="shared" si="27"/>
        <v>913.7600000000001</v>
      </c>
    </row>
    <row r="200" spans="1:38" x14ac:dyDescent="0.3">
      <c r="A200" t="s">
        <v>28</v>
      </c>
      <c r="B200" s="1">
        <v>2017</v>
      </c>
      <c r="C200" t="s">
        <v>40</v>
      </c>
      <c r="D200" t="str">
        <f t="shared" si="21"/>
        <v>2017-October</v>
      </c>
      <c r="E200" s="1">
        <v>10</v>
      </c>
      <c r="F200" s="1">
        <v>135.13999999999999</v>
      </c>
      <c r="G200" s="1">
        <v>142.30000000000001</v>
      </c>
      <c r="H200" s="1">
        <v>136.16</v>
      </c>
      <c r="I200" s="1">
        <v>140.44</v>
      </c>
      <c r="J200" s="1">
        <v>118.42</v>
      </c>
      <c r="K200" s="1">
        <v>141.5</v>
      </c>
      <c r="L200" s="1">
        <v>169.22</v>
      </c>
      <c r="M200" s="1">
        <v>130.16</v>
      </c>
      <c r="N200" s="1">
        <v>122.44</v>
      </c>
      <c r="O200" s="1">
        <v>136.80000000000001</v>
      </c>
      <c r="P200" s="1">
        <v>128.47999999999999</v>
      </c>
      <c r="Q200" s="1">
        <v>148.26</v>
      </c>
      <c r="R200" s="1">
        <v>140.82</v>
      </c>
      <c r="S200" s="1">
        <v>153</v>
      </c>
      <c r="T200" s="1">
        <v>141.28</v>
      </c>
      <c r="U200" s="1">
        <v>133.30000000000001</v>
      </c>
      <c r="V200" s="1">
        <v>140.07999999999998</v>
      </c>
      <c r="W200" s="1">
        <v>137.73333333333335</v>
      </c>
      <c r="X200" s="1">
        <v>131.94</v>
      </c>
      <c r="Y200" s="1">
        <v>133.69999999999999</v>
      </c>
      <c r="Z200" s="1">
        <v>131.06</v>
      </c>
      <c r="AA200" s="1">
        <v>118.13999999999999</v>
      </c>
      <c r="AB200" s="1">
        <v>129.00000000000003</v>
      </c>
      <c r="AC200" s="1">
        <v>138.47999999999999</v>
      </c>
      <c r="AD200" s="1">
        <v>126.23999999999998</v>
      </c>
      <c r="AE200" s="1">
        <v>127.89999999999998</v>
      </c>
      <c r="AF200" s="1">
        <v>136.54000000000002</v>
      </c>
      <c r="AG200" s="1">
        <f t="shared" si="22"/>
        <v>1790.1399999999999</v>
      </c>
      <c r="AH200" s="1">
        <f t="shared" si="23"/>
        <v>153</v>
      </c>
      <c r="AI200" s="1">
        <f t="shared" si="24"/>
        <v>414.66</v>
      </c>
      <c r="AJ200" s="1">
        <f t="shared" si="25"/>
        <v>137.73333333333335</v>
      </c>
      <c r="AK200" s="1">
        <f t="shared" si="26"/>
        <v>131.94</v>
      </c>
      <c r="AL200" s="1">
        <f t="shared" si="27"/>
        <v>904.52</v>
      </c>
    </row>
    <row r="201" spans="1:38" x14ac:dyDescent="0.3">
      <c r="A201" t="s">
        <v>30</v>
      </c>
      <c r="B201" s="1">
        <v>2017</v>
      </c>
      <c r="C201" t="s">
        <v>40</v>
      </c>
      <c r="D201" t="str">
        <f t="shared" si="21"/>
        <v>2017-October</v>
      </c>
      <c r="E201" s="1">
        <v>10</v>
      </c>
      <c r="F201" s="1">
        <v>135.1</v>
      </c>
      <c r="G201" s="1">
        <v>142.4</v>
      </c>
      <c r="H201" s="1">
        <v>138.54</v>
      </c>
      <c r="I201" s="1">
        <v>140.30000000000001</v>
      </c>
      <c r="J201" s="1">
        <v>117.98</v>
      </c>
      <c r="K201" s="1">
        <v>140.6</v>
      </c>
      <c r="L201" s="1">
        <v>172.56</v>
      </c>
      <c r="M201" s="1">
        <v>129.12</v>
      </c>
      <c r="N201" s="1">
        <v>122.76</v>
      </c>
      <c r="O201" s="1">
        <v>137.04000000000002</v>
      </c>
      <c r="P201" s="1">
        <v>128.06</v>
      </c>
      <c r="Q201" s="1">
        <v>147.97999999999999</v>
      </c>
      <c r="R201" s="1">
        <v>141.16</v>
      </c>
      <c r="S201" s="1">
        <v>153.54000000000002</v>
      </c>
      <c r="T201" s="1">
        <v>140.44</v>
      </c>
      <c r="U201" s="1">
        <v>132.14000000000001</v>
      </c>
      <c r="V201" s="1">
        <v>139.19999999999999</v>
      </c>
      <c r="W201" s="1">
        <v>137.95000000000002</v>
      </c>
      <c r="X201" s="1">
        <v>131.38000000000002</v>
      </c>
      <c r="Y201" s="1">
        <v>132.89999999999998</v>
      </c>
      <c r="Z201" s="1">
        <v>130.74</v>
      </c>
      <c r="AA201" s="1">
        <v>117.6</v>
      </c>
      <c r="AB201" s="1">
        <v>128.18</v>
      </c>
      <c r="AC201" s="1">
        <v>138.18</v>
      </c>
      <c r="AD201" s="1">
        <v>126.11999999999998</v>
      </c>
      <c r="AE201" s="1">
        <v>127.43999999999998</v>
      </c>
      <c r="AF201" s="1">
        <v>136.40000000000003</v>
      </c>
      <c r="AG201" s="1">
        <f t="shared" si="22"/>
        <v>1793.6</v>
      </c>
      <c r="AH201" s="1">
        <f t="shared" si="23"/>
        <v>153.54000000000002</v>
      </c>
      <c r="AI201" s="1">
        <f t="shared" si="24"/>
        <v>411.78000000000003</v>
      </c>
      <c r="AJ201" s="1">
        <f t="shared" si="25"/>
        <v>137.95000000000002</v>
      </c>
      <c r="AK201" s="1">
        <f t="shared" si="26"/>
        <v>131.38000000000002</v>
      </c>
      <c r="AL201" s="1">
        <f t="shared" si="27"/>
        <v>901.16</v>
      </c>
    </row>
    <row r="202" spans="1:38" x14ac:dyDescent="0.3">
      <c r="A202" t="s">
        <v>31</v>
      </c>
      <c r="B202" s="1">
        <v>2017</v>
      </c>
      <c r="C202" t="s">
        <v>40</v>
      </c>
      <c r="D202" t="str">
        <f t="shared" si="21"/>
        <v>2017-October</v>
      </c>
      <c r="E202" s="1">
        <v>10</v>
      </c>
      <c r="F202" s="1">
        <v>135.6</v>
      </c>
      <c r="G202" s="1">
        <v>142.58000000000001</v>
      </c>
      <c r="H202" s="1">
        <v>141.22</v>
      </c>
      <c r="I202" s="1">
        <v>140.86000000000001</v>
      </c>
      <c r="J202" s="1">
        <v>119.62</v>
      </c>
      <c r="K202" s="1">
        <v>142.91999999999999</v>
      </c>
      <c r="L202" s="1">
        <v>170.12</v>
      </c>
      <c r="M202" s="1">
        <v>131.06</v>
      </c>
      <c r="N202" s="1">
        <v>122.62</v>
      </c>
      <c r="O202" s="1">
        <v>136.64000000000001</v>
      </c>
      <c r="P202" s="1">
        <v>129.26000000000002</v>
      </c>
      <c r="Q202" s="1">
        <v>149.16</v>
      </c>
      <c r="R202" s="1">
        <v>141.52000000000001</v>
      </c>
      <c r="S202" s="1">
        <v>153.26</v>
      </c>
      <c r="T202" s="1">
        <v>143.24</v>
      </c>
      <c r="U202" s="1">
        <v>135.54</v>
      </c>
      <c r="V202" s="1">
        <v>142.12000000000003</v>
      </c>
      <c r="W202" s="1">
        <v>138.16666666666666</v>
      </c>
      <c r="X202" s="1">
        <v>135.38</v>
      </c>
      <c r="Y202" s="1">
        <v>135.14000000000001</v>
      </c>
      <c r="Z202" s="1">
        <v>132.64000000000001</v>
      </c>
      <c r="AA202" s="1">
        <v>119</v>
      </c>
      <c r="AB202" s="1">
        <v>129.9</v>
      </c>
      <c r="AC202" s="1">
        <v>139.14000000000001</v>
      </c>
      <c r="AD202" s="1">
        <v>126.76000000000002</v>
      </c>
      <c r="AE202" s="1">
        <v>128.91999999999999</v>
      </c>
      <c r="AF202" s="1">
        <v>137.66</v>
      </c>
      <c r="AG202" s="1">
        <f t="shared" si="22"/>
        <v>1803.18</v>
      </c>
      <c r="AH202" s="1">
        <f t="shared" si="23"/>
        <v>153.26</v>
      </c>
      <c r="AI202" s="1">
        <f t="shared" si="24"/>
        <v>420.9</v>
      </c>
      <c r="AJ202" s="1">
        <f t="shared" si="25"/>
        <v>138.16666666666666</v>
      </c>
      <c r="AK202" s="1">
        <f t="shared" si="26"/>
        <v>135.38</v>
      </c>
      <c r="AL202" s="1">
        <f t="shared" si="27"/>
        <v>911.5</v>
      </c>
    </row>
    <row r="203" spans="1:38" x14ac:dyDescent="0.3">
      <c r="A203" t="s">
        <v>28</v>
      </c>
      <c r="B203" s="1">
        <v>2017</v>
      </c>
      <c r="C203" t="s">
        <v>39</v>
      </c>
      <c r="D203" t="str">
        <f t="shared" si="21"/>
        <v>2017-September</v>
      </c>
      <c r="E203" s="1">
        <v>9</v>
      </c>
      <c r="F203" s="1">
        <v>134.66</v>
      </c>
      <c r="G203" s="1">
        <v>142.41999999999999</v>
      </c>
      <c r="H203" s="1">
        <v>130.56</v>
      </c>
      <c r="I203" s="1">
        <v>139.82</v>
      </c>
      <c r="J203" s="1">
        <v>117.98</v>
      </c>
      <c r="K203" s="1">
        <v>142.12</v>
      </c>
      <c r="L203" s="1">
        <v>160.41999999999999</v>
      </c>
      <c r="M203" s="1">
        <v>131</v>
      </c>
      <c r="N203" s="1">
        <v>121.78</v>
      </c>
      <c r="O203" s="1">
        <v>136.19999999999999</v>
      </c>
      <c r="P203" s="1">
        <v>128.34</v>
      </c>
      <c r="Q203" s="1">
        <v>147.48000000000002</v>
      </c>
      <c r="R203" s="1">
        <v>139.34</v>
      </c>
      <c r="S203" s="1">
        <v>151.86000000000001</v>
      </c>
      <c r="T203" s="1">
        <v>140.34</v>
      </c>
      <c r="U203" s="1">
        <v>132.63999999999999</v>
      </c>
      <c r="V203" s="1">
        <v>139.19999999999999</v>
      </c>
      <c r="W203" s="1">
        <v>136.23333333333332</v>
      </c>
      <c r="X203" s="1">
        <v>129.94</v>
      </c>
      <c r="Y203" s="1">
        <v>133.19999999999999</v>
      </c>
      <c r="Z203" s="1">
        <v>130.18</v>
      </c>
      <c r="AA203" s="1">
        <v>118.24000000000001</v>
      </c>
      <c r="AB203" s="1">
        <v>128.5</v>
      </c>
      <c r="AC203" s="1">
        <v>137.85999999999999</v>
      </c>
      <c r="AD203" s="1">
        <v>125.76000000000002</v>
      </c>
      <c r="AE203" s="1">
        <v>127.5</v>
      </c>
      <c r="AF203" s="1">
        <v>135.4</v>
      </c>
      <c r="AG203" s="1">
        <f t="shared" si="22"/>
        <v>1772.12</v>
      </c>
      <c r="AH203" s="1">
        <f t="shared" si="23"/>
        <v>151.86000000000001</v>
      </c>
      <c r="AI203" s="1">
        <f t="shared" si="24"/>
        <v>412.18</v>
      </c>
      <c r="AJ203" s="1">
        <f t="shared" si="25"/>
        <v>136.23333333333332</v>
      </c>
      <c r="AK203" s="1">
        <f t="shared" si="26"/>
        <v>129.94</v>
      </c>
      <c r="AL203" s="1">
        <f t="shared" si="27"/>
        <v>901.24</v>
      </c>
    </row>
    <row r="204" spans="1:38" x14ac:dyDescent="0.3">
      <c r="A204" t="s">
        <v>30</v>
      </c>
      <c r="B204" s="1">
        <v>2017</v>
      </c>
      <c r="C204" t="s">
        <v>39</v>
      </c>
      <c r="D204" t="str">
        <f t="shared" si="21"/>
        <v>2017-September</v>
      </c>
      <c r="E204" s="1">
        <v>9</v>
      </c>
      <c r="F204" s="1">
        <v>134.68</v>
      </c>
      <c r="G204" s="1">
        <v>142.46</v>
      </c>
      <c r="H204" s="1">
        <v>130.69999999999999</v>
      </c>
      <c r="I204" s="1">
        <v>139.9</v>
      </c>
      <c r="J204" s="1">
        <v>117.64</v>
      </c>
      <c r="K204" s="1">
        <v>140.86000000000001</v>
      </c>
      <c r="L204" s="1">
        <v>162.04</v>
      </c>
      <c r="M204" s="1">
        <v>130.04</v>
      </c>
      <c r="N204" s="1">
        <v>121.94</v>
      </c>
      <c r="O204" s="1">
        <v>136.51999999999998</v>
      </c>
      <c r="P204" s="1">
        <v>127.74000000000001</v>
      </c>
      <c r="Q204" s="1">
        <v>147.24</v>
      </c>
      <c r="R204" s="1">
        <v>139.44</v>
      </c>
      <c r="S204" s="1">
        <v>152.22</v>
      </c>
      <c r="T204" s="1">
        <v>139.51999999999998</v>
      </c>
      <c r="U204" s="1">
        <v>131.52000000000001</v>
      </c>
      <c r="V204" s="1">
        <v>138.32</v>
      </c>
      <c r="W204" s="1">
        <v>136.5</v>
      </c>
      <c r="X204" s="1">
        <v>128.9</v>
      </c>
      <c r="Y204" s="1">
        <v>132.33999999999997</v>
      </c>
      <c r="Z204" s="1">
        <v>129.76</v>
      </c>
      <c r="AA204" s="1">
        <v>117.55999999999999</v>
      </c>
      <c r="AB204" s="1">
        <v>127.72</v>
      </c>
      <c r="AC204" s="1">
        <v>137.52000000000001</v>
      </c>
      <c r="AD204" s="1">
        <v>125.66000000000001</v>
      </c>
      <c r="AE204" s="1">
        <v>126.97999999999999</v>
      </c>
      <c r="AF204" s="1">
        <v>135.10000000000002</v>
      </c>
      <c r="AG204" s="1">
        <f t="shared" si="22"/>
        <v>1771.2</v>
      </c>
      <c r="AH204" s="1">
        <f t="shared" si="23"/>
        <v>152.22</v>
      </c>
      <c r="AI204" s="1">
        <f t="shared" si="24"/>
        <v>409.35999999999996</v>
      </c>
      <c r="AJ204" s="1">
        <f t="shared" si="25"/>
        <v>136.5</v>
      </c>
      <c r="AK204" s="1">
        <f t="shared" si="26"/>
        <v>128.9</v>
      </c>
      <c r="AL204" s="1">
        <f t="shared" si="27"/>
        <v>897.54</v>
      </c>
    </row>
    <row r="205" spans="1:38" x14ac:dyDescent="0.3">
      <c r="A205" t="s">
        <v>31</v>
      </c>
      <c r="B205" s="1">
        <v>2017</v>
      </c>
      <c r="C205" t="s">
        <v>39</v>
      </c>
      <c r="D205" t="str">
        <f t="shared" si="21"/>
        <v>2017-September</v>
      </c>
      <c r="E205" s="1">
        <v>9</v>
      </c>
      <c r="F205" s="1">
        <v>135.22</v>
      </c>
      <c r="G205" s="1">
        <v>142.36000000000001</v>
      </c>
      <c r="H205" s="1">
        <v>132.86000000000001</v>
      </c>
      <c r="I205" s="1">
        <v>140.46</v>
      </c>
      <c r="J205" s="1">
        <v>119.06</v>
      </c>
      <c r="K205" s="1">
        <v>142.82</v>
      </c>
      <c r="L205" s="1">
        <v>163.5</v>
      </c>
      <c r="M205" s="1">
        <v>132.30000000000001</v>
      </c>
      <c r="N205" s="1">
        <v>121.96</v>
      </c>
      <c r="O205" s="1">
        <v>136.26</v>
      </c>
      <c r="P205" s="1">
        <v>129.16000000000003</v>
      </c>
      <c r="Q205" s="1">
        <v>148.52000000000001</v>
      </c>
      <c r="R205" s="1">
        <v>140.32</v>
      </c>
      <c r="S205" s="1">
        <v>151.92000000000002</v>
      </c>
      <c r="T205" s="1">
        <v>142.5</v>
      </c>
      <c r="U205" s="1">
        <v>134.9</v>
      </c>
      <c r="V205" s="1">
        <v>141.37999999999997</v>
      </c>
      <c r="W205" s="1">
        <v>136.76666666666668</v>
      </c>
      <c r="X205" s="1">
        <v>133.00000000000003</v>
      </c>
      <c r="Y205" s="1">
        <v>134.6</v>
      </c>
      <c r="Z205" s="1">
        <v>131.69999999999999</v>
      </c>
      <c r="AA205" s="1">
        <v>118.74000000000001</v>
      </c>
      <c r="AB205" s="1">
        <v>129.56</v>
      </c>
      <c r="AC205" s="1">
        <v>138.64000000000001</v>
      </c>
      <c r="AD205" s="1">
        <v>126.4</v>
      </c>
      <c r="AE205" s="1">
        <v>128.41999999999999</v>
      </c>
      <c r="AF205" s="1">
        <v>136.62</v>
      </c>
      <c r="AG205" s="1">
        <f t="shared" si="22"/>
        <v>1784.8</v>
      </c>
      <c r="AH205" s="1">
        <f t="shared" si="23"/>
        <v>151.92000000000002</v>
      </c>
      <c r="AI205" s="1">
        <f t="shared" si="24"/>
        <v>418.78</v>
      </c>
      <c r="AJ205" s="1">
        <f t="shared" si="25"/>
        <v>136.76666666666668</v>
      </c>
      <c r="AK205" s="1">
        <f t="shared" si="26"/>
        <v>133.00000000000003</v>
      </c>
      <c r="AL205" s="1">
        <f t="shared" si="27"/>
        <v>908.05999999999983</v>
      </c>
    </row>
    <row r="206" spans="1:38" x14ac:dyDescent="0.3">
      <c r="A206" t="s">
        <v>28</v>
      </c>
      <c r="B206" s="1">
        <v>2017</v>
      </c>
      <c r="C206" t="s">
        <v>38</v>
      </c>
      <c r="D206" t="str">
        <f t="shared" si="21"/>
        <v>2017-August</v>
      </c>
      <c r="E206" s="1">
        <v>8</v>
      </c>
      <c r="F206" s="1">
        <v>134.22</v>
      </c>
      <c r="G206" s="1">
        <v>143.08000000000001</v>
      </c>
      <c r="H206" s="1">
        <v>129.56</v>
      </c>
      <c r="I206" s="1">
        <v>139.12</v>
      </c>
      <c r="J206" s="1">
        <v>117.58</v>
      </c>
      <c r="K206" s="1">
        <v>144.30000000000001</v>
      </c>
      <c r="L206" s="1">
        <v>165.3</v>
      </c>
      <c r="M206" s="1">
        <v>131.04</v>
      </c>
      <c r="N206" s="1">
        <v>121.5</v>
      </c>
      <c r="O206" s="1">
        <v>135.95999999999998</v>
      </c>
      <c r="P206" s="1">
        <v>128.27999999999997</v>
      </c>
      <c r="Q206" s="1">
        <v>146.85999999999999</v>
      </c>
      <c r="R206" s="1">
        <v>139.86000000000001</v>
      </c>
      <c r="S206" s="1">
        <v>150.86000000000001</v>
      </c>
      <c r="T206" s="1">
        <v>139.54000000000002</v>
      </c>
      <c r="U206" s="1">
        <v>132.16000000000003</v>
      </c>
      <c r="V206" s="1">
        <v>138.47999999999999</v>
      </c>
      <c r="W206" s="1">
        <v>134.83333333333334</v>
      </c>
      <c r="X206" s="1">
        <v>128.62</v>
      </c>
      <c r="Y206" s="1">
        <v>132.76000000000002</v>
      </c>
      <c r="Z206" s="1">
        <v>129.68</v>
      </c>
      <c r="AA206" s="1">
        <v>117.82000000000001</v>
      </c>
      <c r="AB206" s="1">
        <v>127.94000000000001</v>
      </c>
      <c r="AC206" s="1">
        <v>137.80000000000001</v>
      </c>
      <c r="AD206" s="1">
        <v>124.85999999999999</v>
      </c>
      <c r="AE206" s="1">
        <v>127.02000000000001</v>
      </c>
      <c r="AF206" s="1">
        <v>135.18</v>
      </c>
      <c r="AG206" s="1">
        <f t="shared" si="22"/>
        <v>1776.6599999999999</v>
      </c>
      <c r="AH206" s="1">
        <f t="shared" si="23"/>
        <v>150.86000000000001</v>
      </c>
      <c r="AI206" s="1">
        <f t="shared" si="24"/>
        <v>410.18000000000006</v>
      </c>
      <c r="AJ206" s="1">
        <f t="shared" si="25"/>
        <v>134.83333333333334</v>
      </c>
      <c r="AK206" s="1">
        <f t="shared" si="26"/>
        <v>128.62</v>
      </c>
      <c r="AL206" s="1">
        <f t="shared" si="27"/>
        <v>897.88</v>
      </c>
    </row>
    <row r="207" spans="1:38" x14ac:dyDescent="0.3">
      <c r="A207" t="s">
        <v>30</v>
      </c>
      <c r="B207" s="1">
        <v>2017</v>
      </c>
      <c r="C207" t="s">
        <v>38</v>
      </c>
      <c r="D207" t="str">
        <f t="shared" si="21"/>
        <v>2017-August</v>
      </c>
      <c r="E207" s="1">
        <v>8</v>
      </c>
      <c r="F207" s="1">
        <v>134.19999999999999</v>
      </c>
      <c r="G207" s="1">
        <v>142.94</v>
      </c>
      <c r="H207" s="1">
        <v>129.6</v>
      </c>
      <c r="I207" s="1">
        <v>139.16</v>
      </c>
      <c r="J207" s="1">
        <v>117.16</v>
      </c>
      <c r="K207" s="1">
        <v>143.30000000000001</v>
      </c>
      <c r="L207" s="1">
        <v>164.04</v>
      </c>
      <c r="M207" s="1">
        <v>130.13999999999999</v>
      </c>
      <c r="N207" s="1">
        <v>121.64</v>
      </c>
      <c r="O207" s="1">
        <v>136.14000000000001</v>
      </c>
      <c r="P207" s="1">
        <v>127.72</v>
      </c>
      <c r="Q207" s="1">
        <v>146.58000000000001</v>
      </c>
      <c r="R207" s="1">
        <v>139.54000000000002</v>
      </c>
      <c r="S207" s="1">
        <v>151.21999999999997</v>
      </c>
      <c r="T207" s="1">
        <v>138.70000000000002</v>
      </c>
      <c r="U207" s="1">
        <v>131</v>
      </c>
      <c r="V207" s="1">
        <v>137.58000000000001</v>
      </c>
      <c r="W207" s="1">
        <v>135.05000000000001</v>
      </c>
      <c r="X207" s="1">
        <v>127.54</v>
      </c>
      <c r="Y207" s="1">
        <v>131.95999999999998</v>
      </c>
      <c r="Z207" s="1">
        <v>129.19999999999999</v>
      </c>
      <c r="AA207" s="1">
        <v>117.41999999999999</v>
      </c>
      <c r="AB207" s="1">
        <v>127.22</v>
      </c>
      <c r="AC207" s="1">
        <v>137.23999999999998</v>
      </c>
      <c r="AD207" s="1">
        <v>124.92</v>
      </c>
      <c r="AE207" s="1">
        <v>126.58</v>
      </c>
      <c r="AF207" s="1">
        <v>134.66</v>
      </c>
      <c r="AG207" s="1">
        <f t="shared" si="22"/>
        <v>1772.16</v>
      </c>
      <c r="AH207" s="1">
        <f t="shared" si="23"/>
        <v>151.21999999999997</v>
      </c>
      <c r="AI207" s="1">
        <f t="shared" si="24"/>
        <v>407.28000000000009</v>
      </c>
      <c r="AJ207" s="1">
        <f t="shared" si="25"/>
        <v>135.05000000000001</v>
      </c>
      <c r="AK207" s="1">
        <f t="shared" si="26"/>
        <v>127.54</v>
      </c>
      <c r="AL207" s="1">
        <f t="shared" si="27"/>
        <v>894.54</v>
      </c>
    </row>
    <row r="208" spans="1:38" x14ac:dyDescent="0.3">
      <c r="A208" t="s">
        <v>31</v>
      </c>
      <c r="B208" s="1">
        <v>2017</v>
      </c>
      <c r="C208" t="s">
        <v>38</v>
      </c>
      <c r="D208" t="str">
        <f t="shared" si="21"/>
        <v>2017-August</v>
      </c>
      <c r="E208" s="1">
        <v>8</v>
      </c>
      <c r="F208" s="1">
        <v>134.74</v>
      </c>
      <c r="G208" s="1">
        <v>142.54</v>
      </c>
      <c r="H208" s="1">
        <v>130.13999999999999</v>
      </c>
      <c r="I208" s="1">
        <v>139.80000000000001</v>
      </c>
      <c r="J208" s="1">
        <v>118.62</v>
      </c>
      <c r="K208" s="1">
        <v>144.1</v>
      </c>
      <c r="L208" s="1">
        <v>159.5</v>
      </c>
      <c r="M208" s="1">
        <v>132.72</v>
      </c>
      <c r="N208" s="1">
        <v>121.5</v>
      </c>
      <c r="O208" s="1">
        <v>135.76</v>
      </c>
      <c r="P208" s="1">
        <v>129.06</v>
      </c>
      <c r="Q208" s="1">
        <v>147.74</v>
      </c>
      <c r="R208" s="1">
        <v>139.52000000000001</v>
      </c>
      <c r="S208" s="1">
        <v>150.9</v>
      </c>
      <c r="T208" s="1">
        <v>141.6</v>
      </c>
      <c r="U208" s="1">
        <v>134.26</v>
      </c>
      <c r="V208" s="1">
        <v>140.54000000000002</v>
      </c>
      <c r="W208" s="1">
        <v>135.26666666666668</v>
      </c>
      <c r="X208" s="1">
        <v>131.38000000000002</v>
      </c>
      <c r="Y208" s="1">
        <v>134.10000000000002</v>
      </c>
      <c r="Z208" s="1">
        <v>130.9</v>
      </c>
      <c r="AA208" s="1">
        <v>118.7</v>
      </c>
      <c r="AB208" s="1">
        <v>129</v>
      </c>
      <c r="AC208" s="1">
        <v>138.12</v>
      </c>
      <c r="AD208" s="1">
        <v>125.74000000000001</v>
      </c>
      <c r="AE208" s="1">
        <v>127.96</v>
      </c>
      <c r="AF208" s="1">
        <v>135.77999999999997</v>
      </c>
      <c r="AG208" s="1">
        <f t="shared" si="22"/>
        <v>1775.74</v>
      </c>
      <c r="AH208" s="1">
        <f t="shared" si="23"/>
        <v>150.9</v>
      </c>
      <c r="AI208" s="1">
        <f t="shared" si="24"/>
        <v>416.40000000000003</v>
      </c>
      <c r="AJ208" s="1">
        <f t="shared" si="25"/>
        <v>135.26666666666668</v>
      </c>
      <c r="AK208" s="1">
        <f t="shared" si="26"/>
        <v>131.38000000000002</v>
      </c>
      <c r="AL208" s="1">
        <f t="shared" si="27"/>
        <v>904.5200000000001</v>
      </c>
    </row>
    <row r="209" spans="1:38" x14ac:dyDescent="0.3">
      <c r="A209" t="s">
        <v>28</v>
      </c>
      <c r="B209" s="1">
        <v>2017</v>
      </c>
      <c r="C209" t="s">
        <v>37</v>
      </c>
      <c r="D209" t="str">
        <f t="shared" si="21"/>
        <v>2017-July</v>
      </c>
      <c r="E209" s="1">
        <v>7</v>
      </c>
      <c r="F209" s="1">
        <v>133.68</v>
      </c>
      <c r="G209" s="1">
        <v>145.06</v>
      </c>
      <c r="H209" s="1">
        <v>129.41999999999999</v>
      </c>
      <c r="I209" s="1">
        <v>138.58000000000001</v>
      </c>
      <c r="J209" s="1">
        <v>117.4</v>
      </c>
      <c r="K209" s="1">
        <v>143.16</v>
      </c>
      <c r="L209" s="1">
        <v>165.76</v>
      </c>
      <c r="M209" s="1">
        <v>131.46</v>
      </c>
      <c r="N209" s="1">
        <v>120.98</v>
      </c>
      <c r="O209" s="1">
        <v>135.82</v>
      </c>
      <c r="P209" s="1">
        <v>128.1</v>
      </c>
      <c r="Q209" s="1">
        <v>146.07999999999998</v>
      </c>
      <c r="R209" s="1">
        <v>139.68</v>
      </c>
      <c r="S209" s="1">
        <v>149.44</v>
      </c>
      <c r="T209" s="1">
        <v>138.64000000000001</v>
      </c>
      <c r="U209" s="1">
        <v>131.47999999999996</v>
      </c>
      <c r="V209" s="1">
        <v>137.62</v>
      </c>
      <c r="W209" s="1">
        <v>133.20000000000002</v>
      </c>
      <c r="X209" s="1">
        <v>127.93999999999998</v>
      </c>
      <c r="Y209" s="1">
        <v>132.04000000000002</v>
      </c>
      <c r="Z209" s="1">
        <v>129.04000000000002</v>
      </c>
      <c r="AA209" s="1">
        <v>116.64000000000001</v>
      </c>
      <c r="AB209" s="1">
        <v>127.26000000000002</v>
      </c>
      <c r="AC209" s="1">
        <v>137.35999999999999</v>
      </c>
      <c r="AD209" s="1">
        <v>123.81999999999998</v>
      </c>
      <c r="AE209" s="1">
        <v>126.2</v>
      </c>
      <c r="AF209" s="1">
        <v>134.54000000000002</v>
      </c>
      <c r="AG209" s="1">
        <f t="shared" si="22"/>
        <v>1775.1799999999998</v>
      </c>
      <c r="AH209" s="1">
        <f t="shared" si="23"/>
        <v>149.44</v>
      </c>
      <c r="AI209" s="1">
        <f t="shared" si="24"/>
        <v>407.74</v>
      </c>
      <c r="AJ209" s="1">
        <f t="shared" si="25"/>
        <v>133.20000000000002</v>
      </c>
      <c r="AK209" s="1">
        <f t="shared" si="26"/>
        <v>127.93999999999998</v>
      </c>
      <c r="AL209" s="1">
        <f t="shared" si="27"/>
        <v>892.36</v>
      </c>
    </row>
    <row r="210" spans="1:38" x14ac:dyDescent="0.3">
      <c r="A210" t="s">
        <v>30</v>
      </c>
      <c r="B210" s="1">
        <v>2017</v>
      </c>
      <c r="C210" t="s">
        <v>37</v>
      </c>
      <c r="D210" t="str">
        <f t="shared" si="21"/>
        <v>2017-July</v>
      </c>
      <c r="E210" s="1">
        <v>7</v>
      </c>
      <c r="F210" s="1">
        <v>133.74</v>
      </c>
      <c r="G210" s="1">
        <v>144.9</v>
      </c>
      <c r="H210" s="1">
        <v>129.32</v>
      </c>
      <c r="I210" s="1">
        <v>138.58000000000001</v>
      </c>
      <c r="J210" s="1">
        <v>116.84</v>
      </c>
      <c r="K210" s="1">
        <v>143.47999999999999</v>
      </c>
      <c r="L210" s="1">
        <v>169.18</v>
      </c>
      <c r="M210" s="1">
        <v>130.38</v>
      </c>
      <c r="N210" s="1">
        <v>121.22</v>
      </c>
      <c r="O210" s="1">
        <v>136.16000000000003</v>
      </c>
      <c r="P210" s="1">
        <v>127.55999999999999</v>
      </c>
      <c r="Q210" s="1">
        <v>145.9</v>
      </c>
      <c r="R210" s="1">
        <v>140.1</v>
      </c>
      <c r="S210" s="1">
        <v>149.91999999999999</v>
      </c>
      <c r="T210" s="1">
        <v>137.84</v>
      </c>
      <c r="U210" s="1">
        <v>130.45999999999998</v>
      </c>
      <c r="V210" s="1">
        <v>136.78000000000003</v>
      </c>
      <c r="W210" s="1">
        <v>133.5</v>
      </c>
      <c r="X210" s="1">
        <v>126.84</v>
      </c>
      <c r="Y210" s="1">
        <v>131.38000000000002</v>
      </c>
      <c r="Z210" s="1">
        <v>128.66</v>
      </c>
      <c r="AA210" s="1">
        <v>116.28</v>
      </c>
      <c r="AB210" s="1">
        <v>126.6</v>
      </c>
      <c r="AC210" s="1">
        <v>137.16000000000003</v>
      </c>
      <c r="AD210" s="1">
        <v>123.84</v>
      </c>
      <c r="AE210" s="1">
        <v>125.84</v>
      </c>
      <c r="AF210" s="1">
        <v>134.38</v>
      </c>
      <c r="AG210" s="1">
        <f t="shared" si="22"/>
        <v>1777.3600000000001</v>
      </c>
      <c r="AH210" s="1">
        <f t="shared" si="23"/>
        <v>149.91999999999999</v>
      </c>
      <c r="AI210" s="1">
        <f t="shared" si="24"/>
        <v>405.08</v>
      </c>
      <c r="AJ210" s="1">
        <f t="shared" si="25"/>
        <v>133.5</v>
      </c>
      <c r="AK210" s="1">
        <f t="shared" si="26"/>
        <v>126.84</v>
      </c>
      <c r="AL210" s="1">
        <f t="shared" si="27"/>
        <v>889.76000000000022</v>
      </c>
    </row>
    <row r="211" spans="1:38" x14ac:dyDescent="0.3">
      <c r="A211" t="s">
        <v>31</v>
      </c>
      <c r="B211" s="1">
        <v>2017</v>
      </c>
      <c r="C211" t="s">
        <v>37</v>
      </c>
      <c r="D211" t="str">
        <f t="shared" si="21"/>
        <v>2017-July</v>
      </c>
      <c r="E211" s="1">
        <v>7</v>
      </c>
      <c r="F211" s="1">
        <v>134.22</v>
      </c>
      <c r="G211" s="1">
        <v>143.62</v>
      </c>
      <c r="H211" s="1">
        <v>129.54</v>
      </c>
      <c r="I211" s="1">
        <v>139.08000000000001</v>
      </c>
      <c r="J211" s="1">
        <v>118.3</v>
      </c>
      <c r="K211" s="1">
        <v>145.16</v>
      </c>
      <c r="L211" s="1">
        <v>165.06</v>
      </c>
      <c r="M211" s="1">
        <v>132.86000000000001</v>
      </c>
      <c r="N211" s="1">
        <v>121.12</v>
      </c>
      <c r="O211" s="1">
        <v>135.54000000000002</v>
      </c>
      <c r="P211" s="1">
        <v>129.02000000000004</v>
      </c>
      <c r="Q211" s="1">
        <v>147.01999999999998</v>
      </c>
      <c r="R211" s="1">
        <v>140.06</v>
      </c>
      <c r="S211" s="1">
        <v>149.77999999999997</v>
      </c>
      <c r="T211" s="1">
        <v>140.74</v>
      </c>
      <c r="U211" s="1">
        <v>133.66</v>
      </c>
      <c r="V211" s="1">
        <v>139.74</v>
      </c>
      <c r="W211" s="1">
        <v>133.79999999999998</v>
      </c>
      <c r="X211" s="1">
        <v>130.38</v>
      </c>
      <c r="Y211" s="1">
        <v>133.52000000000001</v>
      </c>
      <c r="Z211" s="1">
        <v>130.33999999999997</v>
      </c>
      <c r="AA211" s="1">
        <v>117.88</v>
      </c>
      <c r="AB211" s="1">
        <v>128.36000000000001</v>
      </c>
      <c r="AC211" s="1">
        <v>137.97999999999999</v>
      </c>
      <c r="AD211" s="1">
        <v>124.7</v>
      </c>
      <c r="AE211" s="1">
        <v>127.3</v>
      </c>
      <c r="AF211" s="1">
        <v>135.54000000000002</v>
      </c>
      <c r="AG211" s="1">
        <f t="shared" si="22"/>
        <v>1780.6</v>
      </c>
      <c r="AH211" s="1">
        <f t="shared" si="23"/>
        <v>149.77999999999997</v>
      </c>
      <c r="AI211" s="1">
        <f t="shared" si="24"/>
        <v>414.14</v>
      </c>
      <c r="AJ211" s="1">
        <f t="shared" si="25"/>
        <v>133.79999999999998</v>
      </c>
      <c r="AK211" s="1">
        <f t="shared" si="26"/>
        <v>130.38</v>
      </c>
      <c r="AL211" s="1">
        <f t="shared" si="27"/>
        <v>900.08</v>
      </c>
    </row>
    <row r="212" spans="1:38" x14ac:dyDescent="0.3">
      <c r="A212" t="s">
        <v>28</v>
      </c>
      <c r="B212" s="1">
        <v>2017</v>
      </c>
      <c r="C212" t="s">
        <v>36</v>
      </c>
      <c r="D212" t="str">
        <f t="shared" si="21"/>
        <v>2017-June</v>
      </c>
      <c r="E212" s="1">
        <v>6</v>
      </c>
      <c r="F212" s="1">
        <v>133.30000000000001</v>
      </c>
      <c r="G212" s="1">
        <v>146.1</v>
      </c>
      <c r="H212" s="1">
        <v>128.72</v>
      </c>
      <c r="I212" s="1">
        <v>138.13999999999999</v>
      </c>
      <c r="J212" s="1">
        <v>117.38</v>
      </c>
      <c r="K212" s="1">
        <v>140.12</v>
      </c>
      <c r="L212" s="1">
        <v>146.18</v>
      </c>
      <c r="M212" s="1">
        <v>133.47999999999999</v>
      </c>
      <c r="N212" s="1">
        <v>120.18</v>
      </c>
      <c r="O212" s="1">
        <v>135.85999999999999</v>
      </c>
      <c r="P212" s="1">
        <v>127.64000000000001</v>
      </c>
      <c r="Q212" s="1">
        <v>145.18</v>
      </c>
      <c r="R212" s="1">
        <v>136.82</v>
      </c>
      <c r="S212" s="1">
        <v>147.76</v>
      </c>
      <c r="T212" s="1">
        <v>137.80000000000001</v>
      </c>
      <c r="U212" s="1">
        <v>130.88</v>
      </c>
      <c r="V212" s="1">
        <v>136.78</v>
      </c>
      <c r="W212" s="1">
        <v>131.79999999999998</v>
      </c>
      <c r="X212" s="1">
        <v>127.52000000000002</v>
      </c>
      <c r="Y212" s="1">
        <v>131.30000000000001</v>
      </c>
      <c r="Z212" s="1">
        <v>128.14000000000001</v>
      </c>
      <c r="AA212" s="1">
        <v>116.42</v>
      </c>
      <c r="AB212" s="1">
        <v>126.54</v>
      </c>
      <c r="AC212" s="1">
        <v>136.14000000000001</v>
      </c>
      <c r="AD212" s="1">
        <v>123.35999999999999</v>
      </c>
      <c r="AE212" s="1">
        <v>125.58</v>
      </c>
      <c r="AF212" s="1">
        <v>132.76</v>
      </c>
      <c r="AG212" s="1">
        <f t="shared" si="22"/>
        <v>1749.1000000000001</v>
      </c>
      <c r="AH212" s="1">
        <f t="shared" si="23"/>
        <v>147.76</v>
      </c>
      <c r="AI212" s="1">
        <f t="shared" si="24"/>
        <v>405.46000000000004</v>
      </c>
      <c r="AJ212" s="1">
        <f t="shared" si="25"/>
        <v>131.79999999999998</v>
      </c>
      <c r="AK212" s="1">
        <f t="shared" si="26"/>
        <v>127.52000000000002</v>
      </c>
      <c r="AL212" s="1">
        <f t="shared" si="27"/>
        <v>887.48000000000013</v>
      </c>
    </row>
    <row r="213" spans="1:38" x14ac:dyDescent="0.3">
      <c r="A213" t="s">
        <v>30</v>
      </c>
      <c r="B213" s="1">
        <v>2017</v>
      </c>
      <c r="C213" t="s">
        <v>36</v>
      </c>
      <c r="D213" t="str">
        <f t="shared" si="21"/>
        <v>2017-June</v>
      </c>
      <c r="E213" s="1">
        <v>6</v>
      </c>
      <c r="F213" s="1">
        <v>133.32</v>
      </c>
      <c r="G213" s="1">
        <v>146.5</v>
      </c>
      <c r="H213" s="1">
        <v>129.04</v>
      </c>
      <c r="I213" s="1">
        <v>138.12</v>
      </c>
      <c r="J213" s="1">
        <v>116.82</v>
      </c>
      <c r="K213" s="1">
        <v>140.30000000000001</v>
      </c>
      <c r="L213" s="1">
        <v>152.32</v>
      </c>
      <c r="M213" s="1">
        <v>132.16</v>
      </c>
      <c r="N213" s="1">
        <v>120.5</v>
      </c>
      <c r="O213" s="1">
        <v>136.19999999999999</v>
      </c>
      <c r="P213" s="1">
        <v>127.25999999999999</v>
      </c>
      <c r="Q213" s="1">
        <v>145.04000000000002</v>
      </c>
      <c r="R213" s="1">
        <v>137.64000000000001</v>
      </c>
      <c r="S213" s="1">
        <v>148.24</v>
      </c>
      <c r="T213" s="1">
        <v>137.04000000000002</v>
      </c>
      <c r="U213" s="1">
        <v>129.76000000000002</v>
      </c>
      <c r="V213" s="1">
        <v>135.98000000000002</v>
      </c>
      <c r="W213" s="1">
        <v>132</v>
      </c>
      <c r="X213" s="1">
        <v>126.44000000000001</v>
      </c>
      <c r="Y213" s="1">
        <v>130.64000000000001</v>
      </c>
      <c r="Z213" s="1">
        <v>127.75999999999999</v>
      </c>
      <c r="AA213" s="1">
        <v>115.74000000000001</v>
      </c>
      <c r="AB213" s="1">
        <v>125.9</v>
      </c>
      <c r="AC213" s="1">
        <v>136.12000000000003</v>
      </c>
      <c r="AD213" s="1">
        <v>123.26000000000002</v>
      </c>
      <c r="AE213" s="1">
        <v>125.13999999999999</v>
      </c>
      <c r="AF213" s="1">
        <v>132.82</v>
      </c>
      <c r="AG213" s="1">
        <f t="shared" si="22"/>
        <v>1755.22</v>
      </c>
      <c r="AH213" s="1">
        <f t="shared" si="23"/>
        <v>148.24</v>
      </c>
      <c r="AI213" s="1">
        <f t="shared" si="24"/>
        <v>402.78000000000009</v>
      </c>
      <c r="AJ213" s="1">
        <f t="shared" si="25"/>
        <v>132</v>
      </c>
      <c r="AK213" s="1">
        <f t="shared" si="26"/>
        <v>126.44000000000001</v>
      </c>
      <c r="AL213" s="1">
        <f t="shared" si="27"/>
        <v>884.56</v>
      </c>
    </row>
    <row r="214" spans="1:38" x14ac:dyDescent="0.3">
      <c r="A214" t="s">
        <v>31</v>
      </c>
      <c r="B214" s="1">
        <v>2017</v>
      </c>
      <c r="C214" t="s">
        <v>36</v>
      </c>
      <c r="D214" t="str">
        <f t="shared" si="21"/>
        <v>2017-June</v>
      </c>
      <c r="E214" s="1">
        <v>6</v>
      </c>
      <c r="F214" s="1">
        <v>133.69999999999999</v>
      </c>
      <c r="G214" s="1">
        <v>145.38</v>
      </c>
      <c r="H214" s="1">
        <v>129.38</v>
      </c>
      <c r="I214" s="1">
        <v>138.54</v>
      </c>
      <c r="J214" s="1">
        <v>118.22</v>
      </c>
      <c r="K214" s="1">
        <v>142.46</v>
      </c>
      <c r="L214" s="1">
        <v>156.46</v>
      </c>
      <c r="M214" s="1">
        <v>134</v>
      </c>
      <c r="N214" s="1">
        <v>120.48</v>
      </c>
      <c r="O214" s="1">
        <v>135.38000000000002</v>
      </c>
      <c r="P214" s="1">
        <v>128.74</v>
      </c>
      <c r="Q214" s="1">
        <v>146.16</v>
      </c>
      <c r="R214" s="1">
        <v>138.62</v>
      </c>
      <c r="S214" s="1">
        <v>148.32</v>
      </c>
      <c r="T214" s="1">
        <v>139.80000000000001</v>
      </c>
      <c r="U214" s="1">
        <v>132.95999999999998</v>
      </c>
      <c r="V214" s="1">
        <v>138.84</v>
      </c>
      <c r="W214" s="1">
        <v>132.20000000000002</v>
      </c>
      <c r="X214" s="1">
        <v>129.92000000000002</v>
      </c>
      <c r="Y214" s="1">
        <v>132.74</v>
      </c>
      <c r="Z214" s="1">
        <v>129.6</v>
      </c>
      <c r="AA214" s="1">
        <v>117.02000000000001</v>
      </c>
      <c r="AB214" s="1">
        <v>127.62</v>
      </c>
      <c r="AC214" s="1">
        <v>137.30000000000001</v>
      </c>
      <c r="AD214" s="1">
        <v>123.84</v>
      </c>
      <c r="AE214" s="1">
        <v>126.54</v>
      </c>
      <c r="AF214" s="1">
        <v>134.4</v>
      </c>
      <c r="AG214" s="1">
        <f t="shared" si="22"/>
        <v>1767.5200000000004</v>
      </c>
      <c r="AH214" s="1">
        <f t="shared" si="23"/>
        <v>148.32</v>
      </c>
      <c r="AI214" s="1">
        <f t="shared" si="24"/>
        <v>411.6</v>
      </c>
      <c r="AJ214" s="1">
        <f t="shared" si="25"/>
        <v>132.20000000000002</v>
      </c>
      <c r="AK214" s="1">
        <f t="shared" si="26"/>
        <v>129.92000000000002</v>
      </c>
      <c r="AL214" s="1">
        <f t="shared" si="27"/>
        <v>894.66</v>
      </c>
    </row>
    <row r="215" spans="1:38" x14ac:dyDescent="0.3">
      <c r="A215" t="s">
        <v>28</v>
      </c>
      <c r="B215" s="1">
        <v>2017</v>
      </c>
      <c r="C215" t="s">
        <v>35</v>
      </c>
      <c r="D215" t="str">
        <f t="shared" si="21"/>
        <v>2017-May</v>
      </c>
      <c r="E215" s="1">
        <v>5</v>
      </c>
      <c r="F215" s="1">
        <v>133</v>
      </c>
      <c r="G215" s="1">
        <v>143.68</v>
      </c>
      <c r="H215" s="1">
        <v>127</v>
      </c>
      <c r="I215" s="1">
        <v>137.72</v>
      </c>
      <c r="J215" s="1">
        <v>117.34</v>
      </c>
      <c r="K215" s="1">
        <v>138.28</v>
      </c>
      <c r="L215" s="1">
        <v>129.91999999999999</v>
      </c>
      <c r="M215" s="1">
        <v>136</v>
      </c>
      <c r="N215" s="1">
        <v>119.76</v>
      </c>
      <c r="O215" s="1">
        <v>136.44</v>
      </c>
      <c r="P215" s="1">
        <v>127.26000000000002</v>
      </c>
      <c r="Q215" s="1">
        <v>144.56</v>
      </c>
      <c r="R215" s="1">
        <v>134.34</v>
      </c>
      <c r="S215" s="1">
        <v>146.88</v>
      </c>
      <c r="T215" s="1">
        <v>137.35999999999999</v>
      </c>
      <c r="U215" s="1">
        <v>130.56</v>
      </c>
      <c r="V215" s="1">
        <v>136.34</v>
      </c>
      <c r="W215" s="1">
        <v>131.86666666666667</v>
      </c>
      <c r="X215" s="1">
        <v>127.66</v>
      </c>
      <c r="Y215" s="1">
        <v>130.85999999999999</v>
      </c>
      <c r="Z215" s="1">
        <v>127.7</v>
      </c>
      <c r="AA215" s="1">
        <v>116.73999999999998</v>
      </c>
      <c r="AB215" s="1">
        <v>126.12</v>
      </c>
      <c r="AC215" s="1">
        <v>135.22000000000003</v>
      </c>
      <c r="AD215" s="1">
        <v>123.05999999999999</v>
      </c>
      <c r="AE215" s="1">
        <v>125.32000000000001</v>
      </c>
      <c r="AF215" s="1">
        <v>131.56</v>
      </c>
      <c r="AG215" s="1">
        <f t="shared" si="22"/>
        <v>1725.3</v>
      </c>
      <c r="AH215" s="1">
        <f t="shared" si="23"/>
        <v>146.88</v>
      </c>
      <c r="AI215" s="1">
        <f t="shared" si="24"/>
        <v>404.26</v>
      </c>
      <c r="AJ215" s="1">
        <f t="shared" si="25"/>
        <v>131.86666666666667</v>
      </c>
      <c r="AK215" s="1">
        <f t="shared" si="26"/>
        <v>127.66</v>
      </c>
      <c r="AL215" s="1">
        <f t="shared" si="27"/>
        <v>885.02</v>
      </c>
    </row>
    <row r="216" spans="1:38" x14ac:dyDescent="0.3">
      <c r="A216" t="s">
        <v>30</v>
      </c>
      <c r="B216" s="1">
        <v>2017</v>
      </c>
      <c r="C216" t="s">
        <v>35</v>
      </c>
      <c r="D216" t="str">
        <f t="shared" si="21"/>
        <v>2017-May</v>
      </c>
      <c r="E216" s="1">
        <v>5</v>
      </c>
      <c r="F216" s="1">
        <v>133.04</v>
      </c>
      <c r="G216" s="1">
        <v>144.72</v>
      </c>
      <c r="H216" s="1">
        <v>127.26</v>
      </c>
      <c r="I216" s="1">
        <v>137.69999999999999</v>
      </c>
      <c r="J216" s="1">
        <v>116.82</v>
      </c>
      <c r="K216" s="1">
        <v>138.08000000000001</v>
      </c>
      <c r="L216" s="1">
        <v>131.82</v>
      </c>
      <c r="M216" s="1">
        <v>134.88</v>
      </c>
      <c r="N216" s="1">
        <v>119.96</v>
      </c>
      <c r="O216" s="1">
        <v>136.69999999999999</v>
      </c>
      <c r="P216" s="1">
        <v>126.75999999999999</v>
      </c>
      <c r="Q216" s="1">
        <v>144.38</v>
      </c>
      <c r="R216" s="1">
        <v>134.61999999999998</v>
      </c>
      <c r="S216" s="1">
        <v>147.07999999999998</v>
      </c>
      <c r="T216" s="1">
        <v>136.56</v>
      </c>
      <c r="U216" s="1">
        <v>129.44</v>
      </c>
      <c r="V216" s="1">
        <v>135.47999999999999</v>
      </c>
      <c r="W216" s="1">
        <v>131.75</v>
      </c>
      <c r="X216" s="1">
        <v>126.42</v>
      </c>
      <c r="Y216" s="1">
        <v>130.11999999999998</v>
      </c>
      <c r="Z216" s="1">
        <v>127.12</v>
      </c>
      <c r="AA216" s="1">
        <v>116.16</v>
      </c>
      <c r="AB216" s="1">
        <v>125.42</v>
      </c>
      <c r="AC216" s="1">
        <v>135.04</v>
      </c>
      <c r="AD216" s="1">
        <v>123</v>
      </c>
      <c r="AE216" s="1">
        <v>124.84</v>
      </c>
      <c r="AF216" s="1">
        <v>131.30000000000001</v>
      </c>
      <c r="AG216" s="1">
        <f t="shared" si="22"/>
        <v>1726.7400000000002</v>
      </c>
      <c r="AH216" s="1">
        <f t="shared" si="23"/>
        <v>147.07999999999998</v>
      </c>
      <c r="AI216" s="1">
        <f t="shared" si="24"/>
        <v>401.48</v>
      </c>
      <c r="AJ216" s="1">
        <f t="shared" si="25"/>
        <v>131.75</v>
      </c>
      <c r="AK216" s="1">
        <f t="shared" si="26"/>
        <v>126.42</v>
      </c>
      <c r="AL216" s="1">
        <f t="shared" si="27"/>
        <v>881.7</v>
      </c>
    </row>
    <row r="217" spans="1:38" x14ac:dyDescent="0.3">
      <c r="A217" t="s">
        <v>31</v>
      </c>
      <c r="B217" s="1">
        <v>2017</v>
      </c>
      <c r="C217" t="s">
        <v>35</v>
      </c>
      <c r="D217" t="str">
        <f t="shared" si="21"/>
        <v>2017-May</v>
      </c>
      <c r="E217" s="1">
        <v>5</v>
      </c>
      <c r="F217" s="1">
        <v>133.32</v>
      </c>
      <c r="G217" s="1">
        <v>144.74</v>
      </c>
      <c r="H217" s="1">
        <v>128.1</v>
      </c>
      <c r="I217" s="1">
        <v>138.13999999999999</v>
      </c>
      <c r="J217" s="1">
        <v>118.32</v>
      </c>
      <c r="K217" s="1">
        <v>139.82</v>
      </c>
      <c r="L217" s="1">
        <v>136.28</v>
      </c>
      <c r="M217" s="1">
        <v>136.19999999999999</v>
      </c>
      <c r="N217" s="1">
        <v>119.76</v>
      </c>
      <c r="O217" s="1">
        <v>135.5</v>
      </c>
      <c r="P217" s="1">
        <v>128.28</v>
      </c>
      <c r="Q217" s="1">
        <v>145.34</v>
      </c>
      <c r="R217" s="1">
        <v>135.6</v>
      </c>
      <c r="S217" s="1">
        <v>146.9</v>
      </c>
      <c r="T217" s="1">
        <v>139.11999999999998</v>
      </c>
      <c r="U217" s="1">
        <v>132.42000000000002</v>
      </c>
      <c r="V217" s="1">
        <v>138.14000000000001</v>
      </c>
      <c r="W217" s="1">
        <v>131.63333333333333</v>
      </c>
      <c r="X217" s="1">
        <v>129.45999999999998</v>
      </c>
      <c r="Y217" s="1">
        <v>132.04000000000002</v>
      </c>
      <c r="Z217" s="1">
        <v>128.82</v>
      </c>
      <c r="AA217" s="1">
        <v>117.12</v>
      </c>
      <c r="AB217" s="1">
        <v>126.97999999999999</v>
      </c>
      <c r="AC217" s="1">
        <v>136.00000000000003</v>
      </c>
      <c r="AD217" s="1">
        <v>123.47999999999999</v>
      </c>
      <c r="AE217" s="1">
        <v>126.03999999999999</v>
      </c>
      <c r="AF217" s="1">
        <v>132.68</v>
      </c>
      <c r="AG217" s="1">
        <f t="shared" si="22"/>
        <v>1739.3999999999996</v>
      </c>
      <c r="AH217" s="1">
        <f t="shared" si="23"/>
        <v>146.9</v>
      </c>
      <c r="AI217" s="1">
        <f t="shared" si="24"/>
        <v>409.67999999999995</v>
      </c>
      <c r="AJ217" s="1">
        <f t="shared" si="25"/>
        <v>131.63333333333333</v>
      </c>
      <c r="AK217" s="1">
        <f t="shared" si="26"/>
        <v>129.45999999999998</v>
      </c>
      <c r="AL217" s="1">
        <f t="shared" si="27"/>
        <v>890.48</v>
      </c>
    </row>
    <row r="218" spans="1:38" x14ac:dyDescent="0.3">
      <c r="A218" t="s">
        <v>28</v>
      </c>
      <c r="B218" s="1">
        <v>2017</v>
      </c>
      <c r="C218" t="s">
        <v>34</v>
      </c>
      <c r="D218" t="str">
        <f t="shared" si="21"/>
        <v>2017-April</v>
      </c>
      <c r="E218" s="1">
        <v>4</v>
      </c>
      <c r="F218" s="1">
        <v>132.91999999999999</v>
      </c>
      <c r="G218" s="1">
        <v>140.62</v>
      </c>
      <c r="H218" s="1">
        <v>126.02</v>
      </c>
      <c r="I218" s="1">
        <v>137.24</v>
      </c>
      <c r="J218" s="1">
        <v>117.48</v>
      </c>
      <c r="K218" s="1">
        <v>138.96</v>
      </c>
      <c r="L218" s="1">
        <v>125</v>
      </c>
      <c r="M218" s="1">
        <v>138.5</v>
      </c>
      <c r="N218" s="1">
        <v>119.26</v>
      </c>
      <c r="O218" s="1">
        <v>137.16</v>
      </c>
      <c r="P218" s="1">
        <v>127.06000000000002</v>
      </c>
      <c r="Q218" s="1">
        <v>144.19999999999999</v>
      </c>
      <c r="R218" s="1">
        <v>133.56</v>
      </c>
      <c r="S218" s="1">
        <v>146.32</v>
      </c>
      <c r="T218" s="1">
        <v>137.12</v>
      </c>
      <c r="U218" s="1">
        <v>130.28000000000003</v>
      </c>
      <c r="V218" s="1">
        <v>136.12000000000003</v>
      </c>
      <c r="W218" s="1">
        <v>131.83333333333334</v>
      </c>
      <c r="X218" s="1">
        <v>128.26000000000002</v>
      </c>
      <c r="Y218" s="1">
        <v>130.42000000000002</v>
      </c>
      <c r="Z218" s="1">
        <v>127.5</v>
      </c>
      <c r="AA218" s="1">
        <v>116.75999999999999</v>
      </c>
      <c r="AB218" s="1">
        <v>125.63999999999999</v>
      </c>
      <c r="AC218" s="1">
        <v>134.77999999999997</v>
      </c>
      <c r="AD218" s="1">
        <v>122.94000000000001</v>
      </c>
      <c r="AE218" s="1">
        <v>125.12</v>
      </c>
      <c r="AF218" s="1">
        <v>131.14000000000001</v>
      </c>
      <c r="AG218" s="1">
        <f t="shared" si="22"/>
        <v>1717.98</v>
      </c>
      <c r="AH218" s="1">
        <f t="shared" si="23"/>
        <v>146.32</v>
      </c>
      <c r="AI218" s="1">
        <f t="shared" si="24"/>
        <v>403.5200000000001</v>
      </c>
      <c r="AJ218" s="1">
        <f t="shared" si="25"/>
        <v>131.83333333333334</v>
      </c>
      <c r="AK218" s="1">
        <f t="shared" si="26"/>
        <v>128.26000000000002</v>
      </c>
      <c r="AL218" s="1">
        <f t="shared" si="27"/>
        <v>883.16</v>
      </c>
    </row>
    <row r="219" spans="1:38" x14ac:dyDescent="0.3">
      <c r="A219" t="s">
        <v>30</v>
      </c>
      <c r="B219" s="1">
        <v>2017</v>
      </c>
      <c r="C219" t="s">
        <v>34</v>
      </c>
      <c r="D219" t="str">
        <f t="shared" si="21"/>
        <v>2017-April</v>
      </c>
      <c r="E219" s="1">
        <v>4</v>
      </c>
      <c r="F219" s="1">
        <v>132.86000000000001</v>
      </c>
      <c r="G219" s="1">
        <v>141.19999999999999</v>
      </c>
      <c r="H219" s="1">
        <v>125.86</v>
      </c>
      <c r="I219" s="1">
        <v>137.24</v>
      </c>
      <c r="J219" s="1">
        <v>116.84</v>
      </c>
      <c r="K219" s="1">
        <v>138.18</v>
      </c>
      <c r="L219" s="1">
        <v>125.82</v>
      </c>
      <c r="M219" s="1">
        <v>137.26</v>
      </c>
      <c r="N219" s="1">
        <v>119.66</v>
      </c>
      <c r="O219" s="1">
        <v>137.54000000000002</v>
      </c>
      <c r="P219" s="1">
        <v>126.58</v>
      </c>
      <c r="Q219" s="1">
        <v>144</v>
      </c>
      <c r="R219" s="1">
        <v>133.6</v>
      </c>
      <c r="S219" s="1">
        <v>146.68</v>
      </c>
      <c r="T219" s="1">
        <v>136.28000000000003</v>
      </c>
      <c r="U219" s="1">
        <v>129.19999999999999</v>
      </c>
      <c r="V219" s="1">
        <v>135.24</v>
      </c>
      <c r="W219" s="1">
        <v>131.9</v>
      </c>
      <c r="X219" s="1">
        <v>127.14000000000001</v>
      </c>
      <c r="Y219" s="1">
        <v>129.73999999999998</v>
      </c>
      <c r="Z219" s="1">
        <v>126.97999999999999</v>
      </c>
      <c r="AA219" s="1">
        <v>116.25999999999999</v>
      </c>
      <c r="AB219" s="1">
        <v>125.12</v>
      </c>
      <c r="AC219" s="1">
        <v>134.6</v>
      </c>
      <c r="AD219" s="1">
        <v>122.8</v>
      </c>
      <c r="AE219" s="1">
        <v>124.67999999999999</v>
      </c>
      <c r="AF219" s="1">
        <v>130.83999999999997</v>
      </c>
      <c r="AG219" s="1">
        <f t="shared" si="22"/>
        <v>1716.6399999999999</v>
      </c>
      <c r="AH219" s="1">
        <f t="shared" si="23"/>
        <v>146.68</v>
      </c>
      <c r="AI219" s="1">
        <f t="shared" si="24"/>
        <v>400.72</v>
      </c>
      <c r="AJ219" s="1">
        <f t="shared" si="25"/>
        <v>131.9</v>
      </c>
      <c r="AK219" s="1">
        <f t="shared" si="26"/>
        <v>127.14000000000001</v>
      </c>
      <c r="AL219" s="1">
        <f t="shared" si="27"/>
        <v>880.17999999999984</v>
      </c>
    </row>
    <row r="220" spans="1:38" x14ac:dyDescent="0.3">
      <c r="A220" t="s">
        <v>31</v>
      </c>
      <c r="B220" s="1">
        <v>2017</v>
      </c>
      <c r="C220" t="s">
        <v>34</v>
      </c>
      <c r="D220" t="str">
        <f t="shared" si="21"/>
        <v>2017-April</v>
      </c>
      <c r="E220" s="1">
        <v>4</v>
      </c>
      <c r="F220" s="1">
        <v>133.02000000000001</v>
      </c>
      <c r="G220" s="1">
        <v>141.82</v>
      </c>
      <c r="H220" s="1">
        <v>126.56</v>
      </c>
      <c r="I220" s="1">
        <v>137.69999999999999</v>
      </c>
      <c r="J220" s="1">
        <v>118.32</v>
      </c>
      <c r="K220" s="1">
        <v>138.82</v>
      </c>
      <c r="L220" s="1">
        <v>126.16</v>
      </c>
      <c r="M220" s="1">
        <v>138.54</v>
      </c>
      <c r="N220" s="1">
        <v>119.28</v>
      </c>
      <c r="O220" s="1">
        <v>135.97999999999999</v>
      </c>
      <c r="P220" s="1">
        <v>127.9</v>
      </c>
      <c r="Q220" s="1">
        <v>144.78</v>
      </c>
      <c r="R220" s="1">
        <v>133.89999999999998</v>
      </c>
      <c r="S220" s="1">
        <v>146.24</v>
      </c>
      <c r="T220" s="1">
        <v>138.66000000000003</v>
      </c>
      <c r="U220" s="1">
        <v>132.14000000000001</v>
      </c>
      <c r="V220" s="1">
        <v>137.69999999999999</v>
      </c>
      <c r="W220" s="1">
        <v>131.96666666666667</v>
      </c>
      <c r="X220" s="1">
        <v>129.82</v>
      </c>
      <c r="Y220" s="1">
        <v>131.58000000000001</v>
      </c>
      <c r="Z220" s="1">
        <v>128.56</v>
      </c>
      <c r="AA220" s="1">
        <v>117.28</v>
      </c>
      <c r="AB220" s="1">
        <v>126.55999999999999</v>
      </c>
      <c r="AC220" s="1">
        <v>135.26000000000002</v>
      </c>
      <c r="AD220" s="1">
        <v>123.17999999999999</v>
      </c>
      <c r="AE220" s="1">
        <v>125.8</v>
      </c>
      <c r="AF220" s="1">
        <v>131.80000000000001</v>
      </c>
      <c r="AG220" s="1">
        <f t="shared" si="22"/>
        <v>1722.7800000000002</v>
      </c>
      <c r="AH220" s="1">
        <f t="shared" si="23"/>
        <v>146.24</v>
      </c>
      <c r="AI220" s="1">
        <f t="shared" si="24"/>
        <v>408.50000000000006</v>
      </c>
      <c r="AJ220" s="1">
        <f t="shared" si="25"/>
        <v>131.96666666666667</v>
      </c>
      <c r="AK220" s="1">
        <f t="shared" si="26"/>
        <v>129.82</v>
      </c>
      <c r="AL220" s="1">
        <f t="shared" si="27"/>
        <v>888.21999999999991</v>
      </c>
    </row>
    <row r="221" spans="1:38" x14ac:dyDescent="0.3">
      <c r="A221" t="s">
        <v>28</v>
      </c>
      <c r="B221" s="1">
        <v>2017</v>
      </c>
      <c r="C221" t="s">
        <v>33</v>
      </c>
      <c r="D221" t="str">
        <f t="shared" si="21"/>
        <v>2017-March</v>
      </c>
      <c r="E221" s="1">
        <v>3</v>
      </c>
      <c r="F221" s="1">
        <v>133.1</v>
      </c>
      <c r="G221" s="1">
        <v>139.30000000000001</v>
      </c>
      <c r="H221" s="1">
        <v>127.48</v>
      </c>
      <c r="I221" s="1">
        <v>136.47999999999999</v>
      </c>
      <c r="J221" s="1">
        <v>117.84</v>
      </c>
      <c r="K221" s="1">
        <v>138.86000000000001</v>
      </c>
      <c r="L221" s="1">
        <v>122.2</v>
      </c>
      <c r="M221" s="1">
        <v>141.19999999999999</v>
      </c>
      <c r="N221" s="1">
        <v>118.68</v>
      </c>
      <c r="O221" s="1">
        <v>138.30000000000001</v>
      </c>
      <c r="P221" s="1">
        <v>126.88</v>
      </c>
      <c r="Q221" s="1">
        <v>143.97999999999999</v>
      </c>
      <c r="R221" s="1">
        <v>133.19999999999999</v>
      </c>
      <c r="S221" s="1">
        <v>145.83999999999997</v>
      </c>
      <c r="T221" s="1">
        <v>136.66</v>
      </c>
      <c r="U221" s="1">
        <v>129.88000000000002</v>
      </c>
      <c r="V221" s="1">
        <v>135.68</v>
      </c>
      <c r="W221" s="1">
        <v>131.29999999999998</v>
      </c>
      <c r="X221" s="1">
        <v>128.1</v>
      </c>
      <c r="Y221" s="1">
        <v>130.01999999999998</v>
      </c>
      <c r="Z221" s="1">
        <v>127.17999999999999</v>
      </c>
      <c r="AA221" s="1">
        <v>117.3</v>
      </c>
      <c r="AB221" s="1">
        <v>125.32000000000001</v>
      </c>
      <c r="AC221" s="1">
        <v>134.22</v>
      </c>
      <c r="AD221" s="1">
        <v>122.7</v>
      </c>
      <c r="AE221" s="1">
        <v>125.02000000000001</v>
      </c>
      <c r="AF221" s="1">
        <v>130.88</v>
      </c>
      <c r="AG221" s="1">
        <f t="shared" si="22"/>
        <v>1717.5000000000002</v>
      </c>
      <c r="AH221" s="1">
        <f t="shared" si="23"/>
        <v>145.83999999999997</v>
      </c>
      <c r="AI221" s="1">
        <f t="shared" si="24"/>
        <v>402.22</v>
      </c>
      <c r="AJ221" s="1">
        <f t="shared" si="25"/>
        <v>131.29999999999998</v>
      </c>
      <c r="AK221" s="1">
        <f t="shared" si="26"/>
        <v>128.1</v>
      </c>
      <c r="AL221" s="1">
        <f t="shared" si="27"/>
        <v>881.76</v>
      </c>
    </row>
    <row r="222" spans="1:38" x14ac:dyDescent="0.3">
      <c r="A222" t="s">
        <v>30</v>
      </c>
      <c r="B222" s="1">
        <v>2017</v>
      </c>
      <c r="C222" t="s">
        <v>33</v>
      </c>
      <c r="D222" t="str">
        <f t="shared" si="21"/>
        <v>2017-March</v>
      </c>
      <c r="E222" s="1">
        <v>3</v>
      </c>
      <c r="F222" s="1">
        <v>132.97999999999999</v>
      </c>
      <c r="G222" s="1">
        <v>139.41999999999999</v>
      </c>
      <c r="H222" s="1">
        <v>126.94</v>
      </c>
      <c r="I222" s="1">
        <v>136.47999999999999</v>
      </c>
      <c r="J222" s="1">
        <v>117.2</v>
      </c>
      <c r="K222" s="1">
        <v>138.9</v>
      </c>
      <c r="L222" s="1">
        <v>122.94</v>
      </c>
      <c r="M222" s="1">
        <v>139.78</v>
      </c>
      <c r="N222" s="1">
        <v>119</v>
      </c>
      <c r="O222" s="1">
        <v>138.48000000000002</v>
      </c>
      <c r="P222" s="1">
        <v>126.4</v>
      </c>
      <c r="Q222" s="1">
        <v>143.74</v>
      </c>
      <c r="R222" s="1">
        <v>133.22</v>
      </c>
      <c r="S222" s="1">
        <v>146.07999999999998</v>
      </c>
      <c r="T222" s="1">
        <v>135.94</v>
      </c>
      <c r="U222" s="1">
        <v>128.86000000000001</v>
      </c>
      <c r="V222" s="1">
        <v>134.92000000000002</v>
      </c>
      <c r="W222" s="1">
        <v>131.39999999999998</v>
      </c>
      <c r="X222" s="1">
        <v>127.21999999999998</v>
      </c>
      <c r="Y222" s="1">
        <v>129.28</v>
      </c>
      <c r="Z222" s="1">
        <v>126.67999999999999</v>
      </c>
      <c r="AA222" s="1">
        <v>116.66</v>
      </c>
      <c r="AB222" s="1">
        <v>124.68000000000002</v>
      </c>
      <c r="AC222" s="1">
        <v>134.07999999999998</v>
      </c>
      <c r="AD222" s="1">
        <v>122.66</v>
      </c>
      <c r="AE222" s="1">
        <v>124.55999999999999</v>
      </c>
      <c r="AF222" s="1">
        <v>130.54000000000002</v>
      </c>
      <c r="AG222" s="1">
        <f t="shared" si="22"/>
        <v>1715.48</v>
      </c>
      <c r="AH222" s="1">
        <f t="shared" si="23"/>
        <v>146.07999999999998</v>
      </c>
      <c r="AI222" s="1">
        <f t="shared" si="24"/>
        <v>399.72</v>
      </c>
      <c r="AJ222" s="1">
        <f t="shared" si="25"/>
        <v>131.39999999999998</v>
      </c>
      <c r="AK222" s="1">
        <f t="shared" si="26"/>
        <v>127.21999999999998</v>
      </c>
      <c r="AL222" s="1">
        <f t="shared" si="27"/>
        <v>878.59999999999991</v>
      </c>
    </row>
    <row r="223" spans="1:38" x14ac:dyDescent="0.3">
      <c r="A223" t="s">
        <v>31</v>
      </c>
      <c r="B223" s="1">
        <v>2017</v>
      </c>
      <c r="C223" t="s">
        <v>33</v>
      </c>
      <c r="D223" t="str">
        <f t="shared" si="21"/>
        <v>2017-March</v>
      </c>
      <c r="E223" s="1">
        <v>3</v>
      </c>
      <c r="F223" s="1">
        <v>133.06</v>
      </c>
      <c r="G223" s="1">
        <v>139.6</v>
      </c>
      <c r="H223" s="1">
        <v>126.62</v>
      </c>
      <c r="I223" s="1">
        <v>137.13999999999999</v>
      </c>
      <c r="J223" s="1">
        <v>118.56</v>
      </c>
      <c r="K223" s="1">
        <v>139.58000000000001</v>
      </c>
      <c r="L223" s="1">
        <v>123.26</v>
      </c>
      <c r="M223" s="1">
        <v>140.97999999999999</v>
      </c>
      <c r="N223" s="1">
        <v>118.66</v>
      </c>
      <c r="O223" s="1">
        <v>136.76</v>
      </c>
      <c r="P223" s="1">
        <v>127.74000000000001</v>
      </c>
      <c r="Q223" s="1">
        <v>144.41999999999999</v>
      </c>
      <c r="R223" s="1">
        <v>133.45999999999998</v>
      </c>
      <c r="S223" s="1">
        <v>145.68</v>
      </c>
      <c r="T223" s="1">
        <v>138.28000000000003</v>
      </c>
      <c r="U223" s="1">
        <v>131.76</v>
      </c>
      <c r="V223" s="1">
        <v>137.35999999999999</v>
      </c>
      <c r="W223" s="1">
        <v>131.49999999999997</v>
      </c>
      <c r="X223" s="1">
        <v>130.06</v>
      </c>
      <c r="Y223" s="1">
        <v>131.13999999999999</v>
      </c>
      <c r="Z223" s="1">
        <v>128.34</v>
      </c>
      <c r="AA223" s="1">
        <v>117.42</v>
      </c>
      <c r="AB223" s="1">
        <v>126.08</v>
      </c>
      <c r="AC223" s="1">
        <v>134.78000000000003</v>
      </c>
      <c r="AD223" s="1">
        <v>123.06000000000002</v>
      </c>
      <c r="AE223" s="1">
        <v>125.62</v>
      </c>
      <c r="AF223" s="1">
        <v>131.45999999999998</v>
      </c>
      <c r="AG223" s="1">
        <f t="shared" si="22"/>
        <v>1719.8400000000001</v>
      </c>
      <c r="AH223" s="1">
        <f t="shared" si="23"/>
        <v>145.68</v>
      </c>
      <c r="AI223" s="1">
        <f t="shared" si="24"/>
        <v>407.4</v>
      </c>
      <c r="AJ223" s="1">
        <f t="shared" si="25"/>
        <v>131.49999999999997</v>
      </c>
      <c r="AK223" s="1">
        <f t="shared" si="26"/>
        <v>130.06</v>
      </c>
      <c r="AL223" s="1">
        <f t="shared" si="27"/>
        <v>886.44</v>
      </c>
    </row>
    <row r="224" spans="1:38" x14ac:dyDescent="0.3">
      <c r="A224" t="s">
        <v>28</v>
      </c>
      <c r="B224" s="1">
        <v>2017</v>
      </c>
      <c r="C224" t="s">
        <v>32</v>
      </c>
      <c r="D224" t="str">
        <f t="shared" si="21"/>
        <v>2017-February</v>
      </c>
      <c r="E224" s="1">
        <v>2</v>
      </c>
      <c r="F224" s="1">
        <v>133.1</v>
      </c>
      <c r="G224" s="1">
        <v>139.02000000000001</v>
      </c>
      <c r="H224" s="1">
        <v>129.02000000000001</v>
      </c>
      <c r="I224" s="1">
        <v>135.72</v>
      </c>
      <c r="J224" s="1">
        <v>118.24</v>
      </c>
      <c r="K224" s="1">
        <v>136.38</v>
      </c>
      <c r="L224" s="1">
        <v>120.14</v>
      </c>
      <c r="M224" s="1">
        <v>147.19999999999999</v>
      </c>
      <c r="N224" s="1">
        <v>118.04</v>
      </c>
      <c r="O224" s="1">
        <v>139.38</v>
      </c>
      <c r="P224" s="1">
        <v>126.62</v>
      </c>
      <c r="Q224" s="1">
        <v>143.45999999999998</v>
      </c>
      <c r="R224" s="1">
        <v>132.94</v>
      </c>
      <c r="S224" s="1">
        <v>145.21999999999997</v>
      </c>
      <c r="T224" s="1">
        <v>136.11999999999998</v>
      </c>
      <c r="U224" s="1">
        <v>129.51999999999998</v>
      </c>
      <c r="V224" s="1">
        <v>135.16000000000003</v>
      </c>
      <c r="W224" s="1">
        <v>130.70000000000002</v>
      </c>
      <c r="X224" s="1">
        <v>127.05999999999999</v>
      </c>
      <c r="Y224" s="1">
        <v>129.66</v>
      </c>
      <c r="Z224" s="1">
        <v>126.82000000000001</v>
      </c>
      <c r="AA224" s="1">
        <v>117.55999999999999</v>
      </c>
      <c r="AB224" s="1">
        <v>125.04</v>
      </c>
      <c r="AC224" s="1">
        <v>133.74</v>
      </c>
      <c r="AD224" s="1">
        <v>122.5</v>
      </c>
      <c r="AE224" s="1">
        <v>124.84</v>
      </c>
      <c r="AF224" s="1">
        <v>130.58000000000001</v>
      </c>
      <c r="AG224" s="1">
        <f t="shared" si="22"/>
        <v>1719.2599999999998</v>
      </c>
      <c r="AH224" s="1">
        <f t="shared" si="23"/>
        <v>145.21999999999997</v>
      </c>
      <c r="AI224" s="1">
        <f t="shared" si="24"/>
        <v>400.8</v>
      </c>
      <c r="AJ224" s="1">
        <f t="shared" si="25"/>
        <v>130.70000000000002</v>
      </c>
      <c r="AK224" s="1">
        <f t="shared" si="26"/>
        <v>127.05999999999999</v>
      </c>
      <c r="AL224" s="1">
        <f t="shared" si="27"/>
        <v>880.16000000000008</v>
      </c>
    </row>
    <row r="225" spans="1:38" x14ac:dyDescent="0.3">
      <c r="A225" t="s">
        <v>30</v>
      </c>
      <c r="B225" s="1">
        <v>2017</v>
      </c>
      <c r="C225" t="s">
        <v>32</v>
      </c>
      <c r="D225" t="str">
        <f t="shared" si="21"/>
        <v>2017-February</v>
      </c>
      <c r="E225" s="1">
        <v>2</v>
      </c>
      <c r="F225" s="1">
        <v>133.1</v>
      </c>
      <c r="G225" s="1">
        <v>139.16</v>
      </c>
      <c r="H225" s="1">
        <v>128.88</v>
      </c>
      <c r="I225" s="1">
        <v>135.54</v>
      </c>
      <c r="J225" s="1">
        <v>117.58</v>
      </c>
      <c r="K225" s="1">
        <v>136.30000000000001</v>
      </c>
      <c r="L225" s="1">
        <v>120.42</v>
      </c>
      <c r="M225" s="1">
        <v>144.6</v>
      </c>
      <c r="N225" s="1">
        <v>118.4</v>
      </c>
      <c r="O225" s="1">
        <v>139.76</v>
      </c>
      <c r="P225" s="1">
        <v>126.18000000000002</v>
      </c>
      <c r="Q225" s="1">
        <v>143.38</v>
      </c>
      <c r="R225" s="1">
        <v>132.84</v>
      </c>
      <c r="S225" s="1">
        <v>145.50000000000003</v>
      </c>
      <c r="T225" s="1">
        <v>135.4</v>
      </c>
      <c r="U225" s="1">
        <v>128.47999999999999</v>
      </c>
      <c r="V225" s="1">
        <v>134.4</v>
      </c>
      <c r="W225" s="1">
        <v>130.80000000000001</v>
      </c>
      <c r="X225" s="1">
        <v>126.24000000000001</v>
      </c>
      <c r="Y225" s="1">
        <v>128.96</v>
      </c>
      <c r="Z225" s="1">
        <v>126.35999999999999</v>
      </c>
      <c r="AA225" s="1">
        <v>117.17999999999999</v>
      </c>
      <c r="AB225" s="1">
        <v>124.5</v>
      </c>
      <c r="AC225" s="1">
        <v>133.51999999999998</v>
      </c>
      <c r="AD225" s="1">
        <v>122.38</v>
      </c>
      <c r="AE225" s="1">
        <v>124.46000000000001</v>
      </c>
      <c r="AF225" s="1">
        <v>130.23999999999998</v>
      </c>
      <c r="AG225" s="1">
        <f t="shared" si="22"/>
        <v>1716.14</v>
      </c>
      <c r="AH225" s="1">
        <f t="shared" si="23"/>
        <v>145.50000000000003</v>
      </c>
      <c r="AI225" s="1">
        <f t="shared" si="24"/>
        <v>398.28</v>
      </c>
      <c r="AJ225" s="1">
        <f t="shared" si="25"/>
        <v>130.80000000000001</v>
      </c>
      <c r="AK225" s="1">
        <f t="shared" si="26"/>
        <v>126.24000000000001</v>
      </c>
      <c r="AL225" s="1">
        <f t="shared" si="27"/>
        <v>877.36</v>
      </c>
    </row>
    <row r="226" spans="1:38" x14ac:dyDescent="0.3">
      <c r="A226" t="s">
        <v>31</v>
      </c>
      <c r="B226" s="1">
        <v>2017</v>
      </c>
      <c r="C226" t="s">
        <v>32</v>
      </c>
      <c r="D226" t="str">
        <f t="shared" si="21"/>
        <v>2017-February</v>
      </c>
      <c r="E226" s="1">
        <v>2</v>
      </c>
      <c r="F226" s="1">
        <v>133.18</v>
      </c>
      <c r="G226" s="1">
        <v>138.94</v>
      </c>
      <c r="H226" s="1">
        <v>128.44</v>
      </c>
      <c r="I226" s="1">
        <v>136.38</v>
      </c>
      <c r="J226" s="1">
        <v>118.98</v>
      </c>
      <c r="K226" s="1">
        <v>138.38</v>
      </c>
      <c r="L226" s="1">
        <v>120.68</v>
      </c>
      <c r="M226" s="1">
        <v>144.88</v>
      </c>
      <c r="N226" s="1">
        <v>117.98</v>
      </c>
      <c r="O226" s="1">
        <v>137.78</v>
      </c>
      <c r="P226" s="1">
        <v>127.5</v>
      </c>
      <c r="Q226" s="1">
        <v>144.1</v>
      </c>
      <c r="R226" s="1">
        <v>133.12</v>
      </c>
      <c r="S226" s="1">
        <v>145.12</v>
      </c>
      <c r="T226" s="1">
        <v>137.78</v>
      </c>
      <c r="U226" s="1">
        <v>131.34</v>
      </c>
      <c r="V226" s="1">
        <v>136.86000000000001</v>
      </c>
      <c r="W226" s="1">
        <v>130.9</v>
      </c>
      <c r="X226" s="1">
        <v>129.4</v>
      </c>
      <c r="Y226" s="1">
        <v>130.76</v>
      </c>
      <c r="Z226" s="1">
        <v>127.98000000000002</v>
      </c>
      <c r="AA226" s="1">
        <v>117.92</v>
      </c>
      <c r="AB226" s="1">
        <v>125.72</v>
      </c>
      <c r="AC226" s="1">
        <v>134.18</v>
      </c>
      <c r="AD226" s="1">
        <v>122.78</v>
      </c>
      <c r="AE226" s="1">
        <v>125.47999999999999</v>
      </c>
      <c r="AF226" s="1">
        <v>131.18</v>
      </c>
      <c r="AG226" s="1">
        <f t="shared" si="22"/>
        <v>1720.3400000000001</v>
      </c>
      <c r="AH226" s="1">
        <f t="shared" si="23"/>
        <v>145.12</v>
      </c>
      <c r="AI226" s="1">
        <f t="shared" si="24"/>
        <v>405.98</v>
      </c>
      <c r="AJ226" s="1">
        <f t="shared" si="25"/>
        <v>130.9</v>
      </c>
      <c r="AK226" s="1">
        <f t="shared" si="26"/>
        <v>129.4</v>
      </c>
      <c r="AL226" s="1">
        <f t="shared" si="27"/>
        <v>884.81999999999994</v>
      </c>
    </row>
    <row r="227" spans="1:38" x14ac:dyDescent="0.3">
      <c r="A227" t="s">
        <v>28</v>
      </c>
      <c r="B227" s="1">
        <v>2017</v>
      </c>
      <c r="C227" t="s">
        <v>29</v>
      </c>
      <c r="D227" t="str">
        <f t="shared" si="21"/>
        <v>2017-January</v>
      </c>
      <c r="E227" s="1">
        <v>1</v>
      </c>
      <c r="F227" s="1">
        <v>132.84</v>
      </c>
      <c r="G227" s="1">
        <v>138.6</v>
      </c>
      <c r="H227" s="1">
        <v>131.06</v>
      </c>
      <c r="I227" s="1">
        <v>135.18</v>
      </c>
      <c r="J227" s="1">
        <v>118.3</v>
      </c>
      <c r="K227" s="1">
        <v>133.74</v>
      </c>
      <c r="L227" s="1">
        <v>119.44</v>
      </c>
      <c r="M227" s="1">
        <v>155.26</v>
      </c>
      <c r="N227" s="1">
        <v>116.68</v>
      </c>
      <c r="O227" s="1">
        <v>140.28</v>
      </c>
      <c r="P227" s="1">
        <v>126.31999999999998</v>
      </c>
      <c r="Q227" s="1">
        <v>142.92000000000002</v>
      </c>
      <c r="R227" s="1">
        <v>132.9</v>
      </c>
      <c r="S227" s="1">
        <v>144.5</v>
      </c>
      <c r="T227" s="1">
        <v>135.78</v>
      </c>
      <c r="U227" s="1">
        <v>129.32</v>
      </c>
      <c r="V227" s="1">
        <v>134.82</v>
      </c>
      <c r="W227" s="1">
        <v>129.9</v>
      </c>
      <c r="X227" s="1">
        <v>125.85999999999999</v>
      </c>
      <c r="Y227" s="1">
        <v>129.32</v>
      </c>
      <c r="Z227" s="1">
        <v>126.52000000000001</v>
      </c>
      <c r="AA227" s="1">
        <v>117.25999999999999</v>
      </c>
      <c r="AB227" s="1">
        <v>124.62</v>
      </c>
      <c r="AC227" s="1">
        <v>133.52000000000001</v>
      </c>
      <c r="AD227" s="1">
        <v>121.96</v>
      </c>
      <c r="AE227" s="1">
        <v>124.5</v>
      </c>
      <c r="AF227" s="1">
        <v>130.26</v>
      </c>
      <c r="AG227" s="1">
        <f t="shared" si="22"/>
        <v>1723.5200000000002</v>
      </c>
      <c r="AH227" s="1">
        <f t="shared" si="23"/>
        <v>144.5</v>
      </c>
      <c r="AI227" s="1">
        <f t="shared" si="24"/>
        <v>399.92</v>
      </c>
      <c r="AJ227" s="1">
        <f t="shared" si="25"/>
        <v>129.9</v>
      </c>
      <c r="AK227" s="1">
        <f t="shared" si="26"/>
        <v>125.85999999999999</v>
      </c>
      <c r="AL227" s="1">
        <f t="shared" si="27"/>
        <v>877.7</v>
      </c>
    </row>
    <row r="228" spans="1:38" x14ac:dyDescent="0.3">
      <c r="A228" t="s">
        <v>30</v>
      </c>
      <c r="B228" s="1">
        <v>2017</v>
      </c>
      <c r="C228" t="s">
        <v>29</v>
      </c>
      <c r="D228" t="str">
        <f t="shared" si="21"/>
        <v>2017-January</v>
      </c>
      <c r="E228" s="1">
        <v>1</v>
      </c>
      <c r="F228" s="1">
        <v>132.84</v>
      </c>
      <c r="G228" s="1">
        <v>138.80000000000001</v>
      </c>
      <c r="H228" s="1">
        <v>130.54</v>
      </c>
      <c r="I228" s="1">
        <v>135</v>
      </c>
      <c r="J228" s="1">
        <v>117.74</v>
      </c>
      <c r="K228" s="1">
        <v>133.6</v>
      </c>
      <c r="L228" s="1">
        <v>119.38</v>
      </c>
      <c r="M228" s="1">
        <v>153.36000000000001</v>
      </c>
      <c r="N228" s="1">
        <v>117.18</v>
      </c>
      <c r="O228" s="1">
        <v>140.64000000000001</v>
      </c>
      <c r="P228" s="1">
        <v>125.9</v>
      </c>
      <c r="Q228" s="1">
        <v>142.77999999999997</v>
      </c>
      <c r="R228" s="1">
        <v>132.76000000000002</v>
      </c>
      <c r="S228" s="1">
        <v>144.76</v>
      </c>
      <c r="T228" s="1">
        <v>135</v>
      </c>
      <c r="U228" s="1">
        <v>128.22</v>
      </c>
      <c r="V228" s="1">
        <v>134</v>
      </c>
      <c r="W228" s="1">
        <v>130.05000000000001</v>
      </c>
      <c r="X228" s="1">
        <v>125.02000000000001</v>
      </c>
      <c r="Y228" s="1">
        <v>128.61999999999998</v>
      </c>
      <c r="Z228" s="1">
        <v>126.01999999999998</v>
      </c>
      <c r="AA228" s="1">
        <v>116.92</v>
      </c>
      <c r="AB228" s="1">
        <v>124.13999999999999</v>
      </c>
      <c r="AC228" s="1">
        <v>133.28</v>
      </c>
      <c r="AD228" s="1">
        <v>122.02000000000001</v>
      </c>
      <c r="AE228" s="1">
        <v>124.13999999999999</v>
      </c>
      <c r="AF228" s="1">
        <v>129.90000000000003</v>
      </c>
      <c r="AG228" s="1">
        <f t="shared" si="22"/>
        <v>1720.5200000000002</v>
      </c>
      <c r="AH228" s="1">
        <f t="shared" si="23"/>
        <v>144.76</v>
      </c>
      <c r="AI228" s="1">
        <f t="shared" si="24"/>
        <v>397.22</v>
      </c>
      <c r="AJ228" s="1">
        <f t="shared" si="25"/>
        <v>130.05000000000001</v>
      </c>
      <c r="AK228" s="1">
        <f t="shared" si="26"/>
        <v>125.02000000000001</v>
      </c>
      <c r="AL228" s="1">
        <f t="shared" si="27"/>
        <v>875.13999999999987</v>
      </c>
    </row>
    <row r="229" spans="1:38" x14ac:dyDescent="0.3">
      <c r="A229" t="s">
        <v>31</v>
      </c>
      <c r="B229" s="1">
        <v>2017</v>
      </c>
      <c r="C229" t="s">
        <v>29</v>
      </c>
      <c r="D229" t="str">
        <f t="shared" si="21"/>
        <v>2017-January</v>
      </c>
      <c r="E229" s="1">
        <v>1</v>
      </c>
      <c r="F229" s="1">
        <v>133.12</v>
      </c>
      <c r="G229" s="1">
        <v>138.78</v>
      </c>
      <c r="H229" s="1">
        <v>129.78</v>
      </c>
      <c r="I229" s="1">
        <v>135.82</v>
      </c>
      <c r="J229" s="1">
        <v>119.26</v>
      </c>
      <c r="K229" s="1">
        <v>135.62</v>
      </c>
      <c r="L229" s="1">
        <v>119.58</v>
      </c>
      <c r="M229" s="1">
        <v>151.94</v>
      </c>
      <c r="N229" s="1">
        <v>117.1</v>
      </c>
      <c r="O229" s="1">
        <v>138.78</v>
      </c>
      <c r="P229" s="1">
        <v>127.21999999999998</v>
      </c>
      <c r="Q229" s="1">
        <v>143.54</v>
      </c>
      <c r="R229" s="1">
        <v>133.04</v>
      </c>
      <c r="S229" s="1">
        <v>144.48000000000002</v>
      </c>
      <c r="T229" s="1">
        <v>137.28</v>
      </c>
      <c r="U229" s="1">
        <v>131</v>
      </c>
      <c r="V229" s="1">
        <v>136.35999999999999</v>
      </c>
      <c r="W229" s="1">
        <v>130.20000000000002</v>
      </c>
      <c r="X229" s="1">
        <v>128.26</v>
      </c>
      <c r="Y229" s="1">
        <v>130.42000000000002</v>
      </c>
      <c r="Z229" s="1">
        <v>127.62</v>
      </c>
      <c r="AA229" s="1">
        <v>117.83999999999999</v>
      </c>
      <c r="AB229" s="1">
        <v>125.4</v>
      </c>
      <c r="AC229" s="1">
        <v>133.84</v>
      </c>
      <c r="AD229" s="1">
        <v>122.5</v>
      </c>
      <c r="AE229" s="1">
        <v>125.2</v>
      </c>
      <c r="AF229" s="1">
        <v>130.9</v>
      </c>
      <c r="AG229" s="1">
        <f t="shared" si="22"/>
        <v>1723.58</v>
      </c>
      <c r="AH229" s="1">
        <f t="shared" si="23"/>
        <v>144.48000000000002</v>
      </c>
      <c r="AI229" s="1">
        <f t="shared" si="24"/>
        <v>404.64</v>
      </c>
      <c r="AJ229" s="1">
        <f t="shared" si="25"/>
        <v>130.20000000000002</v>
      </c>
      <c r="AK229" s="1">
        <f t="shared" si="26"/>
        <v>128.26</v>
      </c>
      <c r="AL229" s="1">
        <f t="shared" si="27"/>
        <v>882.82</v>
      </c>
    </row>
    <row r="230" spans="1:38" x14ac:dyDescent="0.3">
      <c r="A230" t="s">
        <v>28</v>
      </c>
      <c r="B230" s="1">
        <v>2016</v>
      </c>
      <c r="C230" t="s">
        <v>43</v>
      </c>
      <c r="D230" t="str">
        <f t="shared" si="21"/>
        <v>2016-December</v>
      </c>
      <c r="E230" s="1">
        <v>12</v>
      </c>
      <c r="F230" s="1">
        <v>132.36000000000001</v>
      </c>
      <c r="G230" s="1">
        <v>137.96</v>
      </c>
      <c r="H230" s="1">
        <v>132.78</v>
      </c>
      <c r="I230" s="1">
        <v>134.86000000000001</v>
      </c>
      <c r="J230" s="1">
        <v>117.94</v>
      </c>
      <c r="K230" s="1">
        <v>132.63999999999999</v>
      </c>
      <c r="L230" s="1">
        <v>122.48</v>
      </c>
      <c r="M230" s="1">
        <v>164.74</v>
      </c>
      <c r="N230" s="1">
        <v>115.16</v>
      </c>
      <c r="O230" s="1">
        <v>141</v>
      </c>
      <c r="P230" s="1">
        <v>126.2</v>
      </c>
      <c r="Q230" s="1">
        <v>142.46</v>
      </c>
      <c r="R230" s="1">
        <v>133.44</v>
      </c>
      <c r="S230" s="1">
        <v>143.84</v>
      </c>
      <c r="T230" s="1">
        <v>135.51999999999998</v>
      </c>
      <c r="U230" s="1">
        <v>129.06</v>
      </c>
      <c r="V230" s="1">
        <v>134.57999999999998</v>
      </c>
      <c r="W230" s="1">
        <v>128.86666666666667</v>
      </c>
      <c r="X230" s="1">
        <v>125.3</v>
      </c>
      <c r="Y230" s="1">
        <v>129.07999999999998</v>
      </c>
      <c r="Z230" s="1">
        <v>126.28</v>
      </c>
      <c r="AA230" s="1">
        <v>116.52000000000001</v>
      </c>
      <c r="AB230" s="1">
        <v>124.46</v>
      </c>
      <c r="AC230" s="1">
        <v>133.32</v>
      </c>
      <c r="AD230" s="1">
        <v>121.22</v>
      </c>
      <c r="AE230" s="1">
        <v>124.06000000000002</v>
      </c>
      <c r="AF230" s="1">
        <v>130.19999999999999</v>
      </c>
      <c r="AG230" s="1">
        <f t="shared" si="22"/>
        <v>1734.0200000000004</v>
      </c>
      <c r="AH230" s="1">
        <f t="shared" si="23"/>
        <v>143.84</v>
      </c>
      <c r="AI230" s="1">
        <f t="shared" si="24"/>
        <v>399.15999999999997</v>
      </c>
      <c r="AJ230" s="1">
        <f t="shared" si="25"/>
        <v>128.86666666666667</v>
      </c>
      <c r="AK230" s="1">
        <f t="shared" si="26"/>
        <v>125.3</v>
      </c>
      <c r="AL230" s="1">
        <f t="shared" si="27"/>
        <v>874.94</v>
      </c>
    </row>
    <row r="231" spans="1:38" x14ac:dyDescent="0.3">
      <c r="A231" t="s">
        <v>30</v>
      </c>
      <c r="B231" s="1">
        <v>2016</v>
      </c>
      <c r="C231" t="s">
        <v>43</v>
      </c>
      <c r="D231" t="str">
        <f t="shared" si="21"/>
        <v>2016-December</v>
      </c>
      <c r="E231" s="1">
        <v>12</v>
      </c>
      <c r="F231" s="1">
        <v>132.4</v>
      </c>
      <c r="G231" s="1">
        <v>138.13999999999999</v>
      </c>
      <c r="H231" s="1">
        <v>132.9</v>
      </c>
      <c r="I231" s="1">
        <v>134.68</v>
      </c>
      <c r="J231" s="1">
        <v>117.44</v>
      </c>
      <c r="K231" s="1">
        <v>132.12</v>
      </c>
      <c r="L231" s="1">
        <v>120.86</v>
      </c>
      <c r="M231" s="1">
        <v>163.06</v>
      </c>
      <c r="N231" s="1">
        <v>115.52</v>
      </c>
      <c r="O231" s="1">
        <v>141.42000000000002</v>
      </c>
      <c r="P231" s="1">
        <v>125.7</v>
      </c>
      <c r="Q231" s="1">
        <v>142.30000000000001</v>
      </c>
      <c r="R231" s="1">
        <v>133.12</v>
      </c>
      <c r="S231" s="1">
        <v>144.12000000000003</v>
      </c>
      <c r="T231" s="1">
        <v>134.76000000000002</v>
      </c>
      <c r="U231" s="1">
        <v>128.06</v>
      </c>
      <c r="V231" s="1">
        <v>133.76000000000002</v>
      </c>
      <c r="W231" s="1">
        <v>129.05000000000001</v>
      </c>
      <c r="X231" s="1">
        <v>124.25999999999999</v>
      </c>
      <c r="Y231" s="1">
        <v>128.38</v>
      </c>
      <c r="Z231" s="1">
        <v>125.76000000000002</v>
      </c>
      <c r="AA231" s="1">
        <v>116.2</v>
      </c>
      <c r="AB231" s="1">
        <v>123.84</v>
      </c>
      <c r="AC231" s="1">
        <v>133.14000000000001</v>
      </c>
      <c r="AD231" s="1">
        <v>121.18000000000002</v>
      </c>
      <c r="AE231" s="1">
        <v>123.67999999999999</v>
      </c>
      <c r="AF231" s="1">
        <v>129.69999999999999</v>
      </c>
      <c r="AG231" s="1">
        <f t="shared" si="22"/>
        <v>1729.6599999999999</v>
      </c>
      <c r="AH231" s="1">
        <f t="shared" si="23"/>
        <v>144.12000000000003</v>
      </c>
      <c r="AI231" s="1">
        <f t="shared" si="24"/>
        <v>396.58000000000004</v>
      </c>
      <c r="AJ231" s="1">
        <f t="shared" si="25"/>
        <v>129.05000000000001</v>
      </c>
      <c r="AK231" s="1">
        <f t="shared" si="26"/>
        <v>124.25999999999999</v>
      </c>
      <c r="AL231" s="1">
        <f t="shared" si="27"/>
        <v>872.18000000000006</v>
      </c>
    </row>
    <row r="232" spans="1:38" x14ac:dyDescent="0.3">
      <c r="A232" t="s">
        <v>31</v>
      </c>
      <c r="B232" s="1">
        <v>2016</v>
      </c>
      <c r="C232" t="s">
        <v>43</v>
      </c>
      <c r="D232" t="str">
        <f t="shared" si="21"/>
        <v>2016-December</v>
      </c>
      <c r="E232" s="1">
        <v>12</v>
      </c>
      <c r="F232" s="1">
        <v>132.74</v>
      </c>
      <c r="G232" s="1">
        <v>138.16</v>
      </c>
      <c r="H232" s="1">
        <v>131.78</v>
      </c>
      <c r="I232" s="1">
        <v>135.5</v>
      </c>
      <c r="J232" s="1">
        <v>119.16</v>
      </c>
      <c r="K232" s="1">
        <v>134</v>
      </c>
      <c r="L232" s="1">
        <v>120.46</v>
      </c>
      <c r="M232" s="1">
        <v>160.38</v>
      </c>
      <c r="N232" s="1">
        <v>115.66</v>
      </c>
      <c r="O232" s="1">
        <v>139.52000000000001</v>
      </c>
      <c r="P232" s="1">
        <v>126.96</v>
      </c>
      <c r="Q232" s="1">
        <v>143.00000000000003</v>
      </c>
      <c r="R232" s="1">
        <v>133.28</v>
      </c>
      <c r="S232" s="1">
        <v>143.85999999999999</v>
      </c>
      <c r="T232" s="1">
        <v>136.94</v>
      </c>
      <c r="U232" s="1">
        <v>130.78000000000003</v>
      </c>
      <c r="V232" s="1">
        <v>136.04000000000002</v>
      </c>
      <c r="W232" s="1">
        <v>129.23333333333335</v>
      </c>
      <c r="X232" s="1">
        <v>127.34</v>
      </c>
      <c r="Y232" s="1">
        <v>130.1</v>
      </c>
      <c r="Z232" s="1">
        <v>127.32000000000001</v>
      </c>
      <c r="AA232" s="1">
        <v>117.35999999999999</v>
      </c>
      <c r="AB232" s="1">
        <v>125.02000000000001</v>
      </c>
      <c r="AC232" s="1">
        <v>133.66000000000003</v>
      </c>
      <c r="AD232" s="1">
        <v>121.83999999999999</v>
      </c>
      <c r="AE232" s="1">
        <v>124.8</v>
      </c>
      <c r="AF232" s="1">
        <v>130.70000000000002</v>
      </c>
      <c r="AG232" s="1">
        <f t="shared" si="22"/>
        <v>1730.6</v>
      </c>
      <c r="AH232" s="1">
        <f t="shared" si="23"/>
        <v>143.85999999999999</v>
      </c>
      <c r="AI232" s="1">
        <f t="shared" si="24"/>
        <v>403.76000000000005</v>
      </c>
      <c r="AJ232" s="1">
        <f t="shared" si="25"/>
        <v>129.23333333333335</v>
      </c>
      <c r="AK232" s="1">
        <f t="shared" si="26"/>
        <v>127.34</v>
      </c>
      <c r="AL232" s="1">
        <f t="shared" si="27"/>
        <v>880.1</v>
      </c>
    </row>
    <row r="233" spans="1:38" x14ac:dyDescent="0.3">
      <c r="A233" t="s">
        <v>28</v>
      </c>
      <c r="B233" s="1">
        <v>2016</v>
      </c>
      <c r="C233" t="s">
        <v>42</v>
      </c>
      <c r="D233" t="str">
        <f t="shared" si="21"/>
        <v>2016-November</v>
      </c>
      <c r="E233" s="1">
        <v>11</v>
      </c>
      <c r="F233" s="1">
        <v>131.56</v>
      </c>
      <c r="G233" s="1">
        <v>137.84</v>
      </c>
      <c r="H233" s="1">
        <v>132.63999999999999</v>
      </c>
      <c r="I233" s="1">
        <v>134.69999999999999</v>
      </c>
      <c r="J233" s="1">
        <v>117.36</v>
      </c>
      <c r="K233" s="1">
        <v>133.34</v>
      </c>
      <c r="L233" s="1">
        <v>134.86000000000001</v>
      </c>
      <c r="M233" s="1">
        <v>170.96</v>
      </c>
      <c r="N233" s="1">
        <v>114.48</v>
      </c>
      <c r="O233" s="1">
        <v>140.98000000000002</v>
      </c>
      <c r="P233" s="1">
        <v>125.96</v>
      </c>
      <c r="Q233" s="1">
        <v>141.94</v>
      </c>
      <c r="R233" s="1">
        <v>135.07999999999998</v>
      </c>
      <c r="S233" s="1">
        <v>142.97999999999999</v>
      </c>
      <c r="T233" s="1">
        <v>135.14000000000001</v>
      </c>
      <c r="U233" s="1">
        <v>128.66000000000003</v>
      </c>
      <c r="V233" s="1">
        <v>134.24</v>
      </c>
      <c r="W233" s="1">
        <v>128.9</v>
      </c>
      <c r="X233" s="1">
        <v>124.25999999999999</v>
      </c>
      <c r="Y233" s="1">
        <v>128.66</v>
      </c>
      <c r="Z233" s="1">
        <v>125.92</v>
      </c>
      <c r="AA233" s="1">
        <v>115.92</v>
      </c>
      <c r="AB233" s="1">
        <v>124.34</v>
      </c>
      <c r="AC233" s="1">
        <v>133.01999999999998</v>
      </c>
      <c r="AD233" s="1">
        <v>121.83999999999999</v>
      </c>
      <c r="AE233" s="1">
        <v>123.78</v>
      </c>
      <c r="AF233" s="1">
        <v>130.74</v>
      </c>
      <c r="AG233" s="1">
        <f t="shared" si="22"/>
        <v>1751.7</v>
      </c>
      <c r="AH233" s="1">
        <f t="shared" si="23"/>
        <v>142.97999999999999</v>
      </c>
      <c r="AI233" s="1">
        <f t="shared" si="24"/>
        <v>398.04000000000008</v>
      </c>
      <c r="AJ233" s="1">
        <f t="shared" si="25"/>
        <v>128.9</v>
      </c>
      <c r="AK233" s="1">
        <f t="shared" si="26"/>
        <v>124.25999999999999</v>
      </c>
      <c r="AL233" s="1">
        <f t="shared" si="27"/>
        <v>873.48</v>
      </c>
    </row>
    <row r="234" spans="1:38" x14ac:dyDescent="0.3">
      <c r="A234" t="s">
        <v>30</v>
      </c>
      <c r="B234" s="1">
        <v>2016</v>
      </c>
      <c r="C234" t="s">
        <v>42</v>
      </c>
      <c r="D234" t="str">
        <f t="shared" si="21"/>
        <v>2016-November</v>
      </c>
      <c r="E234" s="1">
        <v>11</v>
      </c>
      <c r="F234" s="1">
        <v>131.62</v>
      </c>
      <c r="G234" s="1">
        <v>137.88</v>
      </c>
      <c r="H234" s="1">
        <v>133.1</v>
      </c>
      <c r="I234" s="1">
        <v>134.47999999999999</v>
      </c>
      <c r="J234" s="1">
        <v>116.86</v>
      </c>
      <c r="K234" s="1">
        <v>132.5</v>
      </c>
      <c r="L234" s="1">
        <v>131.56</v>
      </c>
      <c r="M234" s="1">
        <v>170.7</v>
      </c>
      <c r="N234" s="1">
        <v>114.68</v>
      </c>
      <c r="O234" s="1">
        <v>141.66</v>
      </c>
      <c r="P234" s="1">
        <v>125.54</v>
      </c>
      <c r="Q234" s="1">
        <v>141.78000000000003</v>
      </c>
      <c r="R234" s="1">
        <v>134.56</v>
      </c>
      <c r="S234" s="1">
        <v>143.36000000000001</v>
      </c>
      <c r="T234" s="1">
        <v>134.41999999999999</v>
      </c>
      <c r="U234" s="1">
        <v>127.72</v>
      </c>
      <c r="V234" s="1">
        <v>133.47999999999999</v>
      </c>
      <c r="W234" s="1">
        <v>128.80000000000001</v>
      </c>
      <c r="X234" s="1">
        <v>123.52000000000001</v>
      </c>
      <c r="Y234" s="1">
        <v>128.08000000000001</v>
      </c>
      <c r="Z234" s="1">
        <v>125.47999999999999</v>
      </c>
      <c r="AA234" s="1">
        <v>115.48000000000002</v>
      </c>
      <c r="AB234" s="1">
        <v>123.8</v>
      </c>
      <c r="AC234" s="1">
        <v>132.9</v>
      </c>
      <c r="AD234" s="1">
        <v>121.35999999999999</v>
      </c>
      <c r="AE234" s="1">
        <v>123.33999999999999</v>
      </c>
      <c r="AF234" s="1">
        <v>130.1</v>
      </c>
      <c r="AG234" s="1">
        <f t="shared" si="22"/>
        <v>1746.92</v>
      </c>
      <c r="AH234" s="1">
        <f t="shared" si="23"/>
        <v>143.36000000000001</v>
      </c>
      <c r="AI234" s="1">
        <f t="shared" si="24"/>
        <v>395.62</v>
      </c>
      <c r="AJ234" s="1">
        <f t="shared" si="25"/>
        <v>128.80000000000001</v>
      </c>
      <c r="AK234" s="1">
        <f t="shared" si="26"/>
        <v>123.52000000000001</v>
      </c>
      <c r="AL234" s="1">
        <f t="shared" si="27"/>
        <v>870.44</v>
      </c>
    </row>
    <row r="235" spans="1:38" x14ac:dyDescent="0.3">
      <c r="A235" t="s">
        <v>31</v>
      </c>
      <c r="B235" s="1">
        <v>2016</v>
      </c>
      <c r="C235" t="s">
        <v>42</v>
      </c>
      <c r="D235" t="str">
        <f t="shared" si="21"/>
        <v>2016-November</v>
      </c>
      <c r="E235" s="1">
        <v>11</v>
      </c>
      <c r="F235" s="1">
        <v>132.19999999999999</v>
      </c>
      <c r="G235" s="1">
        <v>137.74</v>
      </c>
      <c r="H235" s="1">
        <v>132.66</v>
      </c>
      <c r="I235" s="1">
        <v>135.24</v>
      </c>
      <c r="J235" s="1">
        <v>118.74</v>
      </c>
      <c r="K235" s="1">
        <v>133.54</v>
      </c>
      <c r="L235" s="1">
        <v>127.12</v>
      </c>
      <c r="M235" s="1">
        <v>168.06</v>
      </c>
      <c r="N235" s="1">
        <v>114.52</v>
      </c>
      <c r="O235" s="1">
        <v>139.95999999999998</v>
      </c>
      <c r="P235" s="1">
        <v>126.8</v>
      </c>
      <c r="Q235" s="1">
        <v>142.49999999999997</v>
      </c>
      <c r="R235" s="1">
        <v>134.26</v>
      </c>
      <c r="S235" s="1">
        <v>143.12</v>
      </c>
      <c r="T235" s="1">
        <v>136.64000000000001</v>
      </c>
      <c r="U235" s="1">
        <v>130.45999999999998</v>
      </c>
      <c r="V235" s="1">
        <v>135.78</v>
      </c>
      <c r="W235" s="1">
        <v>128.70000000000002</v>
      </c>
      <c r="X235" s="1">
        <v>126.7</v>
      </c>
      <c r="Y235" s="1">
        <v>129.78000000000003</v>
      </c>
      <c r="Z235" s="1">
        <v>127.04</v>
      </c>
      <c r="AA235" s="1">
        <v>116.62</v>
      </c>
      <c r="AB235" s="1">
        <v>124.85999999999999</v>
      </c>
      <c r="AC235" s="1">
        <v>133.4</v>
      </c>
      <c r="AD235" s="1">
        <v>121.55999999999999</v>
      </c>
      <c r="AE235" s="1">
        <v>124.4</v>
      </c>
      <c r="AF235" s="1">
        <v>130.88</v>
      </c>
      <c r="AG235" s="1">
        <f t="shared" si="22"/>
        <v>1743.34</v>
      </c>
      <c r="AH235" s="1">
        <f t="shared" si="23"/>
        <v>143.12</v>
      </c>
      <c r="AI235" s="1">
        <f t="shared" si="24"/>
        <v>402.88</v>
      </c>
      <c r="AJ235" s="1">
        <f t="shared" si="25"/>
        <v>128.70000000000002</v>
      </c>
      <c r="AK235" s="1">
        <f t="shared" si="26"/>
        <v>126.7</v>
      </c>
      <c r="AL235" s="1">
        <f t="shared" si="27"/>
        <v>877.66</v>
      </c>
    </row>
    <row r="236" spans="1:38" x14ac:dyDescent="0.3">
      <c r="A236" t="s">
        <v>28</v>
      </c>
      <c r="B236" s="1">
        <v>2016</v>
      </c>
      <c r="C236" t="s">
        <v>40</v>
      </c>
      <c r="D236" t="str">
        <f t="shared" si="21"/>
        <v>2016-October</v>
      </c>
      <c r="E236" s="1">
        <v>10</v>
      </c>
      <c r="F236" s="1">
        <v>130.54</v>
      </c>
      <c r="G236" s="1">
        <v>137.96</v>
      </c>
      <c r="H236" s="1">
        <v>131.06</v>
      </c>
      <c r="I236" s="1">
        <v>134.52000000000001</v>
      </c>
      <c r="J236" s="1">
        <v>116.96</v>
      </c>
      <c r="K236" s="1">
        <v>134.24</v>
      </c>
      <c r="L236" s="1">
        <v>147.86000000000001</v>
      </c>
      <c r="M236" s="1">
        <v>172.58</v>
      </c>
      <c r="N236" s="1">
        <v>114.38</v>
      </c>
      <c r="O236" s="1">
        <v>140.62</v>
      </c>
      <c r="P236" s="1">
        <v>125.73999999999998</v>
      </c>
      <c r="Q236" s="1">
        <v>141.30000000000001</v>
      </c>
      <c r="R236" s="1">
        <v>136.5</v>
      </c>
      <c r="S236" s="1">
        <v>142.5</v>
      </c>
      <c r="T236" s="1">
        <v>134.74</v>
      </c>
      <c r="U236" s="1">
        <v>128.38000000000002</v>
      </c>
      <c r="V236" s="1">
        <v>133.80000000000001</v>
      </c>
      <c r="W236" s="1">
        <v>128.83333333333334</v>
      </c>
      <c r="X236" s="1">
        <v>123.16000000000001</v>
      </c>
      <c r="Y236" s="1">
        <v>128.30000000000001</v>
      </c>
      <c r="Z236" s="1">
        <v>125.56000000000002</v>
      </c>
      <c r="AA236" s="1">
        <v>115.47999999999999</v>
      </c>
      <c r="AB236" s="1">
        <v>123.96000000000001</v>
      </c>
      <c r="AC236" s="1">
        <v>132.62</v>
      </c>
      <c r="AD236" s="1">
        <v>122.13999999999999</v>
      </c>
      <c r="AE236" s="1">
        <v>123.47999999999999</v>
      </c>
      <c r="AF236" s="1">
        <v>131.18</v>
      </c>
      <c r="AG236" s="1">
        <f t="shared" si="22"/>
        <v>1764.2599999999998</v>
      </c>
      <c r="AH236" s="1">
        <f t="shared" si="23"/>
        <v>142.5</v>
      </c>
      <c r="AI236" s="1">
        <f t="shared" si="24"/>
        <v>396.92</v>
      </c>
      <c r="AJ236" s="1">
        <f t="shared" si="25"/>
        <v>128.83333333333334</v>
      </c>
      <c r="AK236" s="1">
        <f t="shared" si="26"/>
        <v>123.16000000000001</v>
      </c>
      <c r="AL236" s="1">
        <f t="shared" si="27"/>
        <v>871.54000000000008</v>
      </c>
    </row>
    <row r="237" spans="1:38" x14ac:dyDescent="0.3">
      <c r="A237" t="s">
        <v>30</v>
      </c>
      <c r="B237" s="1">
        <v>2016</v>
      </c>
      <c r="C237" t="s">
        <v>40</v>
      </c>
      <c r="D237" t="str">
        <f t="shared" si="21"/>
        <v>2016-October</v>
      </c>
      <c r="E237" s="1">
        <v>10</v>
      </c>
      <c r="F237" s="1">
        <v>130.56</v>
      </c>
      <c r="G237" s="1">
        <v>138</v>
      </c>
      <c r="H237" s="1">
        <v>131.44</v>
      </c>
      <c r="I237" s="1">
        <v>134.32</v>
      </c>
      <c r="J237" s="1">
        <v>116.4</v>
      </c>
      <c r="K237" s="1">
        <v>133.38</v>
      </c>
      <c r="L237" s="1">
        <v>146.4</v>
      </c>
      <c r="M237" s="1">
        <v>172.88</v>
      </c>
      <c r="N237" s="1">
        <v>114.52</v>
      </c>
      <c r="O237" s="1">
        <v>141.30000000000001</v>
      </c>
      <c r="P237" s="1">
        <v>125.23999999999998</v>
      </c>
      <c r="Q237" s="1">
        <v>141.17999999999998</v>
      </c>
      <c r="R237" s="1">
        <v>136.23999999999998</v>
      </c>
      <c r="S237" s="1">
        <v>142.72</v>
      </c>
      <c r="T237" s="1">
        <v>133.98000000000002</v>
      </c>
      <c r="U237" s="1">
        <v>127.38000000000002</v>
      </c>
      <c r="V237" s="1">
        <v>133.04000000000002</v>
      </c>
      <c r="W237" s="1">
        <v>128.9</v>
      </c>
      <c r="X237" s="1">
        <v>122.2</v>
      </c>
      <c r="Y237" s="1">
        <v>127.66</v>
      </c>
      <c r="Z237" s="1">
        <v>125.1</v>
      </c>
      <c r="AA237" s="1">
        <v>115.06000000000002</v>
      </c>
      <c r="AB237" s="1">
        <v>123.46</v>
      </c>
      <c r="AC237" s="1">
        <v>132.58000000000001</v>
      </c>
      <c r="AD237" s="1">
        <v>122.05999999999999</v>
      </c>
      <c r="AE237" s="1">
        <v>123.1</v>
      </c>
      <c r="AF237" s="1">
        <v>130.66</v>
      </c>
      <c r="AG237" s="1">
        <f t="shared" si="22"/>
        <v>1761.86</v>
      </c>
      <c r="AH237" s="1">
        <f t="shared" si="23"/>
        <v>142.72</v>
      </c>
      <c r="AI237" s="1">
        <f t="shared" si="24"/>
        <v>394.40000000000003</v>
      </c>
      <c r="AJ237" s="1">
        <f t="shared" si="25"/>
        <v>128.9</v>
      </c>
      <c r="AK237" s="1">
        <f t="shared" si="26"/>
        <v>122.2</v>
      </c>
      <c r="AL237" s="1">
        <f t="shared" si="27"/>
        <v>869.02</v>
      </c>
    </row>
    <row r="238" spans="1:38" x14ac:dyDescent="0.3">
      <c r="A238" t="s">
        <v>31</v>
      </c>
      <c r="B238" s="1">
        <v>2016</v>
      </c>
      <c r="C238" t="s">
        <v>40</v>
      </c>
      <c r="D238" t="str">
        <f t="shared" si="21"/>
        <v>2016-October</v>
      </c>
      <c r="E238" s="1">
        <v>10</v>
      </c>
      <c r="F238" s="1">
        <v>131.34</v>
      </c>
      <c r="G238" s="1">
        <v>137.78</v>
      </c>
      <c r="H238" s="1">
        <v>131.69999999999999</v>
      </c>
      <c r="I238" s="1">
        <v>135.04</v>
      </c>
      <c r="J238" s="1">
        <v>118.22</v>
      </c>
      <c r="K238" s="1">
        <v>134.41999999999999</v>
      </c>
      <c r="L238" s="1">
        <v>140.88</v>
      </c>
      <c r="M238" s="1">
        <v>171.32</v>
      </c>
      <c r="N238" s="1">
        <v>114.2</v>
      </c>
      <c r="O238" s="1">
        <v>139.74</v>
      </c>
      <c r="P238" s="1">
        <v>126.55999999999999</v>
      </c>
      <c r="Q238" s="1">
        <v>141.97999999999999</v>
      </c>
      <c r="R238" s="1">
        <v>135.91999999999999</v>
      </c>
      <c r="S238" s="1">
        <v>142.33999999999997</v>
      </c>
      <c r="T238" s="1">
        <v>136.23999999999998</v>
      </c>
      <c r="U238" s="1">
        <v>130.04000000000002</v>
      </c>
      <c r="V238" s="1">
        <v>135.38000000000002</v>
      </c>
      <c r="W238" s="1">
        <v>128.96666666666667</v>
      </c>
      <c r="X238" s="1">
        <v>125.55999999999999</v>
      </c>
      <c r="Y238" s="1">
        <v>129.33999999999997</v>
      </c>
      <c r="Z238" s="1">
        <v>126.67999999999998</v>
      </c>
      <c r="AA238" s="1">
        <v>116.22</v>
      </c>
      <c r="AB238" s="1">
        <v>124.67999999999999</v>
      </c>
      <c r="AC238" s="1">
        <v>133.04000000000002</v>
      </c>
      <c r="AD238" s="1">
        <v>122.28</v>
      </c>
      <c r="AE238" s="1">
        <v>124.17999999999999</v>
      </c>
      <c r="AF238" s="1">
        <v>131.5</v>
      </c>
      <c r="AG238" s="1">
        <f t="shared" si="22"/>
        <v>1759.1000000000001</v>
      </c>
      <c r="AH238" s="1">
        <f t="shared" si="23"/>
        <v>142.33999999999997</v>
      </c>
      <c r="AI238" s="1">
        <f t="shared" si="24"/>
        <v>401.65999999999997</v>
      </c>
      <c r="AJ238" s="1">
        <f t="shared" si="25"/>
        <v>128.96666666666667</v>
      </c>
      <c r="AK238" s="1">
        <f t="shared" si="26"/>
        <v>125.55999999999999</v>
      </c>
      <c r="AL238" s="1">
        <f t="shared" si="27"/>
        <v>876.42</v>
      </c>
    </row>
    <row r="239" spans="1:38" x14ac:dyDescent="0.3">
      <c r="A239" t="s">
        <v>28</v>
      </c>
      <c r="B239" s="1">
        <v>2016</v>
      </c>
      <c r="C239" t="s">
        <v>39</v>
      </c>
      <c r="D239" t="str">
        <f t="shared" si="21"/>
        <v>2016-September</v>
      </c>
      <c r="E239" s="1">
        <v>9</v>
      </c>
      <c r="F239" s="1">
        <v>129.76</v>
      </c>
      <c r="G239" s="1">
        <v>137.97999999999999</v>
      </c>
      <c r="H239" s="1">
        <v>130.4</v>
      </c>
      <c r="I239" s="1">
        <v>134.24</v>
      </c>
      <c r="J239" s="1">
        <v>116.52</v>
      </c>
      <c r="K239" s="1">
        <v>135.32</v>
      </c>
      <c r="L239" s="1">
        <v>151.47999999999999</v>
      </c>
      <c r="M239" s="1">
        <v>172.28</v>
      </c>
      <c r="N239" s="1">
        <v>114.16</v>
      </c>
      <c r="O239" s="1">
        <v>140.19999999999999</v>
      </c>
      <c r="P239" s="1">
        <v>125.61999999999998</v>
      </c>
      <c r="Q239" s="1">
        <v>140.5</v>
      </c>
      <c r="R239" s="1">
        <v>136.64000000000001</v>
      </c>
      <c r="S239" s="1">
        <v>142</v>
      </c>
      <c r="T239" s="1">
        <v>134.1</v>
      </c>
      <c r="U239" s="1">
        <v>127.97999999999999</v>
      </c>
      <c r="V239" s="1">
        <v>133.22</v>
      </c>
      <c r="W239" s="1">
        <v>128.16666666666666</v>
      </c>
      <c r="X239" s="1">
        <v>122.72</v>
      </c>
      <c r="Y239" s="1">
        <v>127.91999999999999</v>
      </c>
      <c r="Z239" s="1">
        <v>125.02000000000001</v>
      </c>
      <c r="AA239" s="1">
        <v>114.74000000000001</v>
      </c>
      <c r="AB239" s="1">
        <v>123.42</v>
      </c>
      <c r="AC239" s="1">
        <v>132.09999999999997</v>
      </c>
      <c r="AD239" s="1">
        <v>121.97999999999999</v>
      </c>
      <c r="AE239" s="1">
        <v>122.96</v>
      </c>
      <c r="AF239" s="1">
        <v>130.94</v>
      </c>
      <c r="AG239" s="1">
        <f t="shared" si="22"/>
        <v>1765.1000000000001</v>
      </c>
      <c r="AH239" s="1">
        <f t="shared" si="23"/>
        <v>142</v>
      </c>
      <c r="AI239" s="1">
        <f t="shared" si="24"/>
        <v>395.29999999999995</v>
      </c>
      <c r="AJ239" s="1">
        <f t="shared" si="25"/>
        <v>128.16666666666666</v>
      </c>
      <c r="AK239" s="1">
        <f t="shared" si="26"/>
        <v>122.72</v>
      </c>
      <c r="AL239" s="1">
        <f t="shared" si="27"/>
        <v>868.1400000000001</v>
      </c>
    </row>
    <row r="240" spans="1:38" x14ac:dyDescent="0.3">
      <c r="A240" t="s">
        <v>30</v>
      </c>
      <c r="B240" s="1">
        <v>2016</v>
      </c>
      <c r="C240" t="s">
        <v>39</v>
      </c>
      <c r="D240" t="str">
        <f t="shared" si="21"/>
        <v>2016-September</v>
      </c>
      <c r="E240" s="1">
        <v>9</v>
      </c>
      <c r="F240" s="1">
        <v>129.69999999999999</v>
      </c>
      <c r="G240" s="1">
        <v>137.91999999999999</v>
      </c>
      <c r="H240" s="1">
        <v>130.34</v>
      </c>
      <c r="I240" s="1">
        <v>134.1</v>
      </c>
      <c r="J240" s="1">
        <v>116.04</v>
      </c>
      <c r="K240" s="1">
        <v>134.41999999999999</v>
      </c>
      <c r="L240" s="1">
        <v>151.82</v>
      </c>
      <c r="M240" s="1">
        <v>172.62</v>
      </c>
      <c r="N240" s="1">
        <v>114.36</v>
      </c>
      <c r="O240" s="1">
        <v>140.9</v>
      </c>
      <c r="P240" s="1">
        <v>125.08</v>
      </c>
      <c r="Q240" s="1">
        <v>140.42000000000002</v>
      </c>
      <c r="R240" s="1">
        <v>136.6</v>
      </c>
      <c r="S240" s="1">
        <v>142.37999999999997</v>
      </c>
      <c r="T240" s="1">
        <v>133.5</v>
      </c>
      <c r="U240" s="1">
        <v>127.1</v>
      </c>
      <c r="V240" s="1">
        <v>132.56</v>
      </c>
      <c r="W240" s="1">
        <v>128.30000000000001</v>
      </c>
      <c r="X240" s="1">
        <v>121.63999999999999</v>
      </c>
      <c r="Y240" s="1">
        <v>127.38</v>
      </c>
      <c r="Z240" s="1">
        <v>124.67999999999999</v>
      </c>
      <c r="AA240" s="1">
        <v>114.38</v>
      </c>
      <c r="AB240" s="1">
        <v>122.97999999999999</v>
      </c>
      <c r="AC240" s="1">
        <v>132.13999999999999</v>
      </c>
      <c r="AD240" s="1">
        <v>121.84</v>
      </c>
      <c r="AE240" s="1">
        <v>122.66</v>
      </c>
      <c r="AF240" s="1">
        <v>130.54</v>
      </c>
      <c r="AG240" s="1">
        <f t="shared" si="22"/>
        <v>1764.32</v>
      </c>
      <c r="AH240" s="1">
        <f t="shared" si="23"/>
        <v>142.37999999999997</v>
      </c>
      <c r="AI240" s="1">
        <f t="shared" si="24"/>
        <v>393.16</v>
      </c>
      <c r="AJ240" s="1">
        <f t="shared" si="25"/>
        <v>128.30000000000001</v>
      </c>
      <c r="AK240" s="1">
        <f t="shared" si="26"/>
        <v>121.63999999999999</v>
      </c>
      <c r="AL240" s="1">
        <f t="shared" si="27"/>
        <v>866.06</v>
      </c>
    </row>
    <row r="241" spans="1:38" x14ac:dyDescent="0.3">
      <c r="A241" t="s">
        <v>31</v>
      </c>
      <c r="B241" s="1">
        <v>2016</v>
      </c>
      <c r="C241" t="s">
        <v>39</v>
      </c>
      <c r="D241" t="str">
        <f t="shared" si="21"/>
        <v>2016-September</v>
      </c>
      <c r="E241" s="1">
        <v>9</v>
      </c>
      <c r="F241" s="1">
        <v>130.47999999999999</v>
      </c>
      <c r="G241" s="1">
        <v>137.86000000000001</v>
      </c>
      <c r="H241" s="1">
        <v>130.34</v>
      </c>
      <c r="I241" s="1">
        <v>134.82</v>
      </c>
      <c r="J241" s="1">
        <v>117.88</v>
      </c>
      <c r="K241" s="1">
        <v>135.30000000000001</v>
      </c>
      <c r="L241" s="1">
        <v>149.6</v>
      </c>
      <c r="M241" s="1">
        <v>171.9</v>
      </c>
      <c r="N241" s="1">
        <v>114.02</v>
      </c>
      <c r="O241" s="1">
        <v>139.30000000000001</v>
      </c>
      <c r="P241" s="1">
        <v>126.4</v>
      </c>
      <c r="Q241" s="1">
        <v>141.28000000000003</v>
      </c>
      <c r="R241" s="1">
        <v>136.78</v>
      </c>
      <c r="S241" s="1">
        <v>141.84</v>
      </c>
      <c r="T241" s="1">
        <v>135.73999999999998</v>
      </c>
      <c r="U241" s="1">
        <v>129.68</v>
      </c>
      <c r="V241" s="1">
        <v>134.85999999999999</v>
      </c>
      <c r="W241" s="1">
        <v>128.43333333333334</v>
      </c>
      <c r="X241" s="1">
        <v>124.74000000000001</v>
      </c>
      <c r="Y241" s="1">
        <v>128.94</v>
      </c>
      <c r="Z241" s="1">
        <v>126.22</v>
      </c>
      <c r="AA241" s="1">
        <v>115.66</v>
      </c>
      <c r="AB241" s="1">
        <v>124.2</v>
      </c>
      <c r="AC241" s="1">
        <v>132.56</v>
      </c>
      <c r="AD241" s="1">
        <v>122.3</v>
      </c>
      <c r="AE241" s="1">
        <v>123.78</v>
      </c>
      <c r="AF241" s="1">
        <v>131.66000000000003</v>
      </c>
      <c r="AG241" s="1">
        <f t="shared" si="22"/>
        <v>1765.96</v>
      </c>
      <c r="AH241" s="1">
        <f t="shared" si="23"/>
        <v>141.84</v>
      </c>
      <c r="AI241" s="1">
        <f t="shared" si="24"/>
        <v>400.28</v>
      </c>
      <c r="AJ241" s="1">
        <f t="shared" si="25"/>
        <v>128.43333333333334</v>
      </c>
      <c r="AK241" s="1">
        <f t="shared" si="26"/>
        <v>124.74000000000001</v>
      </c>
      <c r="AL241" s="1">
        <f t="shared" si="27"/>
        <v>873.65999999999985</v>
      </c>
    </row>
    <row r="242" spans="1:38" x14ac:dyDescent="0.3">
      <c r="A242" t="s">
        <v>28</v>
      </c>
      <c r="B242" s="1">
        <v>2016</v>
      </c>
      <c r="C242" t="s">
        <v>38</v>
      </c>
      <c r="D242" t="str">
        <f t="shared" si="21"/>
        <v>2016-August</v>
      </c>
      <c r="E242" s="1">
        <v>8</v>
      </c>
      <c r="F242" s="1">
        <v>129.18</v>
      </c>
      <c r="G242" s="1">
        <v>138.86000000000001</v>
      </c>
      <c r="H242" s="1">
        <v>131.34</v>
      </c>
      <c r="I242" s="1">
        <v>133.94</v>
      </c>
      <c r="J242" s="1">
        <v>116.14</v>
      </c>
      <c r="K242" s="1">
        <v>137.16</v>
      </c>
      <c r="L242" s="1">
        <v>156.38</v>
      </c>
      <c r="M242" s="1">
        <v>174.82</v>
      </c>
      <c r="N242" s="1">
        <v>113.56</v>
      </c>
      <c r="O242" s="1">
        <v>139.64000000000001</v>
      </c>
      <c r="P242" s="1">
        <v>125.28</v>
      </c>
      <c r="Q242" s="1">
        <v>139.71999999999997</v>
      </c>
      <c r="R242" s="1">
        <v>137.28000000000003</v>
      </c>
      <c r="S242" s="1">
        <v>141.30000000000001</v>
      </c>
      <c r="T242" s="1">
        <v>133.48000000000002</v>
      </c>
      <c r="U242" s="1">
        <v>127.54</v>
      </c>
      <c r="V242" s="1">
        <v>132.62</v>
      </c>
      <c r="W242" s="1">
        <v>127.5</v>
      </c>
      <c r="X242" s="1">
        <v>122.38</v>
      </c>
      <c r="Y242" s="1">
        <v>127.46</v>
      </c>
      <c r="Z242" s="1">
        <v>124.44000000000001</v>
      </c>
      <c r="AA242" s="1">
        <v>113.66</v>
      </c>
      <c r="AB242" s="1">
        <v>123.05999999999999</v>
      </c>
      <c r="AC242" s="1">
        <v>131.78</v>
      </c>
      <c r="AD242" s="1">
        <v>121.67999999999999</v>
      </c>
      <c r="AE242" s="1">
        <v>122.32000000000001</v>
      </c>
      <c r="AF242" s="1">
        <v>130.88</v>
      </c>
      <c r="AG242" s="1">
        <f t="shared" si="22"/>
        <v>1773.3</v>
      </c>
      <c r="AH242" s="1">
        <f t="shared" si="23"/>
        <v>141.30000000000001</v>
      </c>
      <c r="AI242" s="1">
        <f t="shared" si="24"/>
        <v>393.64000000000004</v>
      </c>
      <c r="AJ242" s="1">
        <f t="shared" si="25"/>
        <v>127.5</v>
      </c>
      <c r="AK242" s="1">
        <f t="shared" si="26"/>
        <v>122.38</v>
      </c>
      <c r="AL242" s="1">
        <f t="shared" si="27"/>
        <v>864.4</v>
      </c>
    </row>
    <row r="243" spans="1:38" x14ac:dyDescent="0.3">
      <c r="A243" t="s">
        <v>30</v>
      </c>
      <c r="B243" s="1">
        <v>2016</v>
      </c>
      <c r="C243" t="s">
        <v>38</v>
      </c>
      <c r="D243" t="str">
        <f t="shared" si="21"/>
        <v>2016-August</v>
      </c>
      <c r="E243" s="1">
        <v>8</v>
      </c>
      <c r="F243" s="1">
        <v>129.13999999999999</v>
      </c>
      <c r="G243" s="1">
        <v>138.69999999999999</v>
      </c>
      <c r="H243" s="1">
        <v>131.38</v>
      </c>
      <c r="I243" s="1">
        <v>133.76</v>
      </c>
      <c r="J243" s="1">
        <v>115.6</v>
      </c>
      <c r="K243" s="1">
        <v>136.34</v>
      </c>
      <c r="L243" s="1">
        <v>155.13999999999999</v>
      </c>
      <c r="M243" s="1">
        <v>174.68</v>
      </c>
      <c r="N243" s="1">
        <v>113.9</v>
      </c>
      <c r="O243" s="1">
        <v>140.41999999999999</v>
      </c>
      <c r="P243" s="1">
        <v>124.86000000000001</v>
      </c>
      <c r="Q243" s="1">
        <v>139.62000000000003</v>
      </c>
      <c r="R243" s="1">
        <v>137</v>
      </c>
      <c r="S243" s="1">
        <v>141.71999999999997</v>
      </c>
      <c r="T243" s="1">
        <v>132.83999999999997</v>
      </c>
      <c r="U243" s="1">
        <v>126.66000000000001</v>
      </c>
      <c r="V243" s="1">
        <v>131.95999999999998</v>
      </c>
      <c r="W243" s="1">
        <v>127.6</v>
      </c>
      <c r="X243" s="1">
        <v>121.38</v>
      </c>
      <c r="Y243" s="1">
        <v>126.92</v>
      </c>
      <c r="Z243" s="1">
        <v>124.12</v>
      </c>
      <c r="AA243" s="1">
        <v>113.32000000000001</v>
      </c>
      <c r="AB243" s="1">
        <v>122.54</v>
      </c>
      <c r="AC243" s="1">
        <v>131.76</v>
      </c>
      <c r="AD243" s="1">
        <v>121.7</v>
      </c>
      <c r="AE243" s="1">
        <v>122.03999999999999</v>
      </c>
      <c r="AF243" s="1">
        <v>130.35999999999999</v>
      </c>
      <c r="AG243" s="1">
        <f t="shared" si="22"/>
        <v>1770.5400000000002</v>
      </c>
      <c r="AH243" s="1">
        <f t="shared" si="23"/>
        <v>141.71999999999997</v>
      </c>
      <c r="AI243" s="1">
        <f t="shared" si="24"/>
        <v>391.46</v>
      </c>
      <c r="AJ243" s="1">
        <f t="shared" si="25"/>
        <v>127.6</v>
      </c>
      <c r="AK243" s="1">
        <f t="shared" si="26"/>
        <v>121.38</v>
      </c>
      <c r="AL243" s="1">
        <f t="shared" si="27"/>
        <v>862.40000000000009</v>
      </c>
    </row>
    <row r="244" spans="1:38" x14ac:dyDescent="0.3">
      <c r="A244" t="s">
        <v>31</v>
      </c>
      <c r="B244" s="1">
        <v>2016</v>
      </c>
      <c r="C244" t="s">
        <v>38</v>
      </c>
      <c r="D244" t="str">
        <f t="shared" si="21"/>
        <v>2016-August</v>
      </c>
      <c r="E244" s="1">
        <v>8</v>
      </c>
      <c r="F244" s="1">
        <v>129.88</v>
      </c>
      <c r="G244" s="1">
        <v>138.16</v>
      </c>
      <c r="H244" s="1">
        <v>130.66</v>
      </c>
      <c r="I244" s="1">
        <v>134.52000000000001</v>
      </c>
      <c r="J244" s="1">
        <v>117.4</v>
      </c>
      <c r="K244" s="1">
        <v>136.86000000000001</v>
      </c>
      <c r="L244" s="1">
        <v>152.28</v>
      </c>
      <c r="M244" s="1">
        <v>172.26</v>
      </c>
      <c r="N244" s="1">
        <v>113.66</v>
      </c>
      <c r="O244" s="1">
        <v>138.76</v>
      </c>
      <c r="P244" s="1">
        <v>126.21999999999998</v>
      </c>
      <c r="Q244" s="1">
        <v>140.47999999999999</v>
      </c>
      <c r="R244" s="1">
        <v>136.95999999999998</v>
      </c>
      <c r="S244" s="1">
        <v>141.18</v>
      </c>
      <c r="T244" s="1">
        <v>135.1</v>
      </c>
      <c r="U244" s="1">
        <v>129.24</v>
      </c>
      <c r="V244" s="1">
        <v>134.26</v>
      </c>
      <c r="W244" s="1">
        <v>127.7</v>
      </c>
      <c r="X244" s="1">
        <v>124.4</v>
      </c>
      <c r="Y244" s="1">
        <v>128.5</v>
      </c>
      <c r="Z244" s="1">
        <v>125.61999999999998</v>
      </c>
      <c r="AA244" s="1">
        <v>114.8</v>
      </c>
      <c r="AB244" s="1">
        <v>123.72</v>
      </c>
      <c r="AC244" s="1">
        <v>132.06</v>
      </c>
      <c r="AD244" s="1">
        <v>122.12</v>
      </c>
      <c r="AE244" s="1">
        <v>123.2</v>
      </c>
      <c r="AF244" s="1">
        <v>131.44</v>
      </c>
      <c r="AG244" s="1">
        <f t="shared" si="22"/>
        <v>1768.1000000000001</v>
      </c>
      <c r="AH244" s="1">
        <f t="shared" si="23"/>
        <v>141.18</v>
      </c>
      <c r="AI244" s="1">
        <f t="shared" si="24"/>
        <v>398.6</v>
      </c>
      <c r="AJ244" s="1">
        <f t="shared" si="25"/>
        <v>127.7</v>
      </c>
      <c r="AK244" s="1">
        <f t="shared" si="26"/>
        <v>124.4</v>
      </c>
      <c r="AL244" s="1">
        <f t="shared" si="27"/>
        <v>870.0200000000001</v>
      </c>
    </row>
    <row r="245" spans="1:38" x14ac:dyDescent="0.3">
      <c r="A245" t="s">
        <v>28</v>
      </c>
      <c r="B245" s="1">
        <v>2016</v>
      </c>
      <c r="C245" t="s">
        <v>37</v>
      </c>
      <c r="D245" t="str">
        <f t="shared" si="21"/>
        <v>2016-July</v>
      </c>
      <c r="E245" s="1">
        <v>7</v>
      </c>
      <c r="F245" s="1">
        <v>128.46</v>
      </c>
      <c r="G245" s="1">
        <v>140.80000000000001</v>
      </c>
      <c r="H245" s="1">
        <v>132.5</v>
      </c>
      <c r="I245" s="1">
        <v>133.46</v>
      </c>
      <c r="J245" s="1">
        <v>115.72</v>
      </c>
      <c r="K245" s="1">
        <v>137.86000000000001</v>
      </c>
      <c r="L245" s="1">
        <v>164.7</v>
      </c>
      <c r="M245" s="1">
        <v>178.42</v>
      </c>
      <c r="N245" s="1">
        <v>112.32</v>
      </c>
      <c r="O245" s="1">
        <v>139.04000000000002</v>
      </c>
      <c r="P245" s="1">
        <v>124.8</v>
      </c>
      <c r="Q245" s="1">
        <v>139</v>
      </c>
      <c r="R245" s="1">
        <v>138.28</v>
      </c>
      <c r="S245" s="1">
        <v>140.54000000000002</v>
      </c>
      <c r="T245" s="1">
        <v>132.94</v>
      </c>
      <c r="U245" s="1">
        <v>127.05999999999999</v>
      </c>
      <c r="V245" s="1">
        <v>132.09999999999997</v>
      </c>
      <c r="W245" s="1">
        <v>126.7</v>
      </c>
      <c r="X245" s="1">
        <v>122.18000000000002</v>
      </c>
      <c r="Y245" s="1">
        <v>126.97999999999999</v>
      </c>
      <c r="Z245" s="1">
        <v>124.06000000000002</v>
      </c>
      <c r="AA245" s="1">
        <v>113.67999999999999</v>
      </c>
      <c r="AB245" s="1">
        <v>122.8</v>
      </c>
      <c r="AC245" s="1">
        <v>131.16000000000003</v>
      </c>
      <c r="AD245" s="1">
        <v>120.85999999999999</v>
      </c>
      <c r="AE245" s="1">
        <v>121.94000000000001</v>
      </c>
      <c r="AF245" s="1">
        <v>131</v>
      </c>
      <c r="AG245" s="1">
        <f t="shared" si="22"/>
        <v>1785.36</v>
      </c>
      <c r="AH245" s="1">
        <f t="shared" si="23"/>
        <v>140.54000000000002</v>
      </c>
      <c r="AI245" s="1">
        <f t="shared" si="24"/>
        <v>392.09999999999997</v>
      </c>
      <c r="AJ245" s="1">
        <f t="shared" si="25"/>
        <v>126.7</v>
      </c>
      <c r="AK245" s="1">
        <f t="shared" si="26"/>
        <v>122.18000000000002</v>
      </c>
      <c r="AL245" s="1">
        <f t="shared" si="27"/>
        <v>861.48000000000013</v>
      </c>
    </row>
    <row r="246" spans="1:38" x14ac:dyDescent="0.3">
      <c r="A246" t="s">
        <v>30</v>
      </c>
      <c r="B246" s="1">
        <v>2016</v>
      </c>
      <c r="C246" t="s">
        <v>37</v>
      </c>
      <c r="D246" t="str">
        <f t="shared" si="21"/>
        <v>2016-July</v>
      </c>
      <c r="E246" s="1">
        <v>7</v>
      </c>
      <c r="F246" s="1">
        <v>128.46</v>
      </c>
      <c r="G246" s="1">
        <v>140.76</v>
      </c>
      <c r="H246" s="1">
        <v>132.9</v>
      </c>
      <c r="I246" s="1">
        <v>133.38</v>
      </c>
      <c r="J246" s="1">
        <v>115.2</v>
      </c>
      <c r="K246" s="1">
        <v>137.78</v>
      </c>
      <c r="L246" s="1">
        <v>164.88</v>
      </c>
      <c r="M246" s="1">
        <v>179.18</v>
      </c>
      <c r="N246" s="1">
        <v>112.84</v>
      </c>
      <c r="O246" s="1">
        <v>139.80000000000001</v>
      </c>
      <c r="P246" s="1">
        <v>124.43999999999998</v>
      </c>
      <c r="Q246" s="1">
        <v>138.92000000000002</v>
      </c>
      <c r="R246" s="1">
        <v>138.34</v>
      </c>
      <c r="S246" s="1">
        <v>140.98000000000002</v>
      </c>
      <c r="T246" s="1">
        <v>132.32</v>
      </c>
      <c r="U246" s="1">
        <v>126.25999999999999</v>
      </c>
      <c r="V246" s="1">
        <v>131.44</v>
      </c>
      <c r="W246" s="1">
        <v>126.85000000000001</v>
      </c>
      <c r="X246" s="1">
        <v>121.25999999999999</v>
      </c>
      <c r="Y246" s="1">
        <v>126.46</v>
      </c>
      <c r="Z246" s="1">
        <v>123.67999999999999</v>
      </c>
      <c r="AA246" s="1">
        <v>113.02000000000001</v>
      </c>
      <c r="AB246" s="1">
        <v>122.3</v>
      </c>
      <c r="AC246" s="1">
        <v>131.34</v>
      </c>
      <c r="AD246" s="1">
        <v>120.97999999999999</v>
      </c>
      <c r="AE246" s="1">
        <v>121.6</v>
      </c>
      <c r="AF246" s="1">
        <v>130.62</v>
      </c>
      <c r="AG246" s="1">
        <f t="shared" si="22"/>
        <v>1786.8799999999999</v>
      </c>
      <c r="AH246" s="1">
        <f t="shared" si="23"/>
        <v>140.98000000000002</v>
      </c>
      <c r="AI246" s="1">
        <f t="shared" si="24"/>
        <v>390.02</v>
      </c>
      <c r="AJ246" s="1">
        <f t="shared" si="25"/>
        <v>126.85000000000001</v>
      </c>
      <c r="AK246" s="1">
        <f t="shared" si="26"/>
        <v>121.25999999999999</v>
      </c>
      <c r="AL246" s="1">
        <f t="shared" si="27"/>
        <v>859.38</v>
      </c>
    </row>
    <row r="247" spans="1:38" x14ac:dyDescent="0.3">
      <c r="A247" t="s">
        <v>31</v>
      </c>
      <c r="B247" s="1">
        <v>2016</v>
      </c>
      <c r="C247" t="s">
        <v>37</v>
      </c>
      <c r="D247" t="str">
        <f t="shared" si="21"/>
        <v>2016-July</v>
      </c>
      <c r="E247" s="1">
        <v>7</v>
      </c>
      <c r="F247" s="1">
        <v>129.26</v>
      </c>
      <c r="G247" s="1">
        <v>139.56</v>
      </c>
      <c r="H247" s="1">
        <v>131.68</v>
      </c>
      <c r="I247" s="1">
        <v>134.12</v>
      </c>
      <c r="J247" s="1">
        <v>117.04</v>
      </c>
      <c r="K247" s="1">
        <v>138.22</v>
      </c>
      <c r="L247" s="1">
        <v>158.88</v>
      </c>
      <c r="M247" s="1">
        <v>175.58</v>
      </c>
      <c r="N247" s="1">
        <v>112.8</v>
      </c>
      <c r="O247" s="1">
        <v>138.18</v>
      </c>
      <c r="P247" s="1">
        <v>125.85999999999999</v>
      </c>
      <c r="Q247" s="1">
        <v>139.72</v>
      </c>
      <c r="R247" s="1">
        <v>137.82</v>
      </c>
      <c r="S247" s="1">
        <v>140.38</v>
      </c>
      <c r="T247" s="1">
        <v>134.44</v>
      </c>
      <c r="U247" s="1">
        <v>128.74</v>
      </c>
      <c r="V247" s="1">
        <v>133.61999999999998</v>
      </c>
      <c r="W247" s="1">
        <v>127</v>
      </c>
      <c r="X247" s="1">
        <v>124.1</v>
      </c>
      <c r="Y247" s="1">
        <v>127.97999999999999</v>
      </c>
      <c r="Z247" s="1">
        <v>125.05999999999999</v>
      </c>
      <c r="AA247" s="1">
        <v>114.08</v>
      </c>
      <c r="AB247" s="1">
        <v>123.38</v>
      </c>
      <c r="AC247" s="1">
        <v>131.62000000000003</v>
      </c>
      <c r="AD247" s="1">
        <v>121.53999999999999</v>
      </c>
      <c r="AE247" s="1">
        <v>122.6</v>
      </c>
      <c r="AF247" s="1">
        <v>131.5</v>
      </c>
      <c r="AG247" s="1">
        <f t="shared" si="22"/>
        <v>1778.7199999999998</v>
      </c>
      <c r="AH247" s="1">
        <f t="shared" si="23"/>
        <v>140.38</v>
      </c>
      <c r="AI247" s="1">
        <f t="shared" si="24"/>
        <v>396.79999999999995</v>
      </c>
      <c r="AJ247" s="1">
        <f t="shared" si="25"/>
        <v>127</v>
      </c>
      <c r="AK247" s="1">
        <f t="shared" si="26"/>
        <v>124.1</v>
      </c>
      <c r="AL247" s="1">
        <f t="shared" si="27"/>
        <v>866.26</v>
      </c>
    </row>
    <row r="248" spans="1:38" x14ac:dyDescent="0.3">
      <c r="A248" t="s">
        <v>28</v>
      </c>
      <c r="B248" s="1">
        <v>2016</v>
      </c>
      <c r="C248" t="s">
        <v>36</v>
      </c>
      <c r="D248" t="str">
        <f t="shared" si="21"/>
        <v>2016-June</v>
      </c>
      <c r="E248" s="1">
        <v>6</v>
      </c>
      <c r="F248" s="1">
        <v>127.66</v>
      </c>
      <c r="G248" s="1">
        <v>141.34</v>
      </c>
      <c r="H248" s="1">
        <v>130.4</v>
      </c>
      <c r="I248" s="1">
        <v>132.69999999999999</v>
      </c>
      <c r="J248" s="1">
        <v>114.96</v>
      </c>
      <c r="K248" s="1">
        <v>136.97999999999999</v>
      </c>
      <c r="L248" s="1">
        <v>164.72</v>
      </c>
      <c r="M248" s="1">
        <v>177.62</v>
      </c>
      <c r="N248" s="1">
        <v>110.86</v>
      </c>
      <c r="O248" s="1">
        <v>138.07999999999998</v>
      </c>
      <c r="P248" s="1">
        <v>124.28</v>
      </c>
      <c r="Q248" s="1">
        <v>138.32</v>
      </c>
      <c r="R248" s="1">
        <v>137.68</v>
      </c>
      <c r="S248" s="1">
        <v>139.89999999999998</v>
      </c>
      <c r="T248" s="1">
        <v>132.38</v>
      </c>
      <c r="U248" s="1">
        <v>126.63999999999999</v>
      </c>
      <c r="V248" s="1">
        <v>131.52000000000001</v>
      </c>
      <c r="W248" s="1">
        <v>125.8</v>
      </c>
      <c r="X248" s="1">
        <v>122.1</v>
      </c>
      <c r="Y248" s="1">
        <v>126.47999999999999</v>
      </c>
      <c r="Z248" s="1">
        <v>123.7</v>
      </c>
      <c r="AA248" s="1">
        <v>114.18000000000002</v>
      </c>
      <c r="AB248" s="1">
        <v>122.23999999999998</v>
      </c>
      <c r="AC248" s="1">
        <v>130.16</v>
      </c>
      <c r="AD248" s="1">
        <v>119.8</v>
      </c>
      <c r="AE248" s="1">
        <v>121.62</v>
      </c>
      <c r="AF248" s="1">
        <v>130.42000000000002</v>
      </c>
      <c r="AG248" s="1">
        <f t="shared" si="22"/>
        <v>1775.6</v>
      </c>
      <c r="AH248" s="1">
        <f t="shared" si="23"/>
        <v>139.89999999999998</v>
      </c>
      <c r="AI248" s="1">
        <f t="shared" si="24"/>
        <v>390.53999999999996</v>
      </c>
      <c r="AJ248" s="1">
        <f t="shared" si="25"/>
        <v>125.8</v>
      </c>
      <c r="AK248" s="1">
        <f t="shared" si="26"/>
        <v>122.1</v>
      </c>
      <c r="AL248" s="1">
        <f t="shared" si="27"/>
        <v>858.18</v>
      </c>
    </row>
    <row r="249" spans="1:38" x14ac:dyDescent="0.3">
      <c r="A249" t="s">
        <v>30</v>
      </c>
      <c r="B249" s="1">
        <v>2016</v>
      </c>
      <c r="C249" t="s">
        <v>36</v>
      </c>
      <c r="D249" t="str">
        <f t="shared" si="21"/>
        <v>2016-June</v>
      </c>
      <c r="E249" s="1">
        <v>6</v>
      </c>
      <c r="F249" s="1">
        <v>127.64</v>
      </c>
      <c r="G249" s="1">
        <v>141.86000000000001</v>
      </c>
      <c r="H249" s="1">
        <v>131.54</v>
      </c>
      <c r="I249" s="1">
        <v>132.68</v>
      </c>
      <c r="J249" s="1">
        <v>114.52</v>
      </c>
      <c r="K249" s="1">
        <v>137.06</v>
      </c>
      <c r="L249" s="1">
        <v>167.3</v>
      </c>
      <c r="M249" s="1">
        <v>179.26</v>
      </c>
      <c r="N249" s="1">
        <v>111.36</v>
      </c>
      <c r="O249" s="1">
        <v>138.96</v>
      </c>
      <c r="P249" s="1">
        <v>124</v>
      </c>
      <c r="Q249" s="1">
        <v>138.24</v>
      </c>
      <c r="R249" s="1">
        <v>138.16000000000003</v>
      </c>
      <c r="S249" s="1">
        <v>140.32</v>
      </c>
      <c r="T249" s="1">
        <v>131.82</v>
      </c>
      <c r="U249" s="1">
        <v>125.84</v>
      </c>
      <c r="V249" s="1">
        <v>130.94</v>
      </c>
      <c r="W249" s="1">
        <v>125.94999999999999</v>
      </c>
      <c r="X249" s="1">
        <v>121.17999999999999</v>
      </c>
      <c r="Y249" s="1">
        <v>126</v>
      </c>
      <c r="Z249" s="1">
        <v>123.35999999999999</v>
      </c>
      <c r="AA249" s="1">
        <v>113.7</v>
      </c>
      <c r="AB249" s="1">
        <v>121.9</v>
      </c>
      <c r="AC249" s="1">
        <v>130.28000000000003</v>
      </c>
      <c r="AD249" s="1">
        <v>119.92</v>
      </c>
      <c r="AE249" s="1">
        <v>121.33999999999999</v>
      </c>
      <c r="AF249" s="1">
        <v>130.26000000000002</v>
      </c>
      <c r="AG249" s="1">
        <f t="shared" si="22"/>
        <v>1782.58</v>
      </c>
      <c r="AH249" s="1">
        <f t="shared" si="23"/>
        <v>140.32</v>
      </c>
      <c r="AI249" s="1">
        <f t="shared" si="24"/>
        <v>388.59999999999997</v>
      </c>
      <c r="AJ249" s="1">
        <f t="shared" si="25"/>
        <v>125.94999999999999</v>
      </c>
      <c r="AK249" s="1">
        <f t="shared" si="26"/>
        <v>121.17999999999999</v>
      </c>
      <c r="AL249" s="1">
        <f t="shared" si="27"/>
        <v>856.5</v>
      </c>
    </row>
    <row r="250" spans="1:38" x14ac:dyDescent="0.3">
      <c r="A250" t="s">
        <v>31</v>
      </c>
      <c r="B250" s="1">
        <v>2016</v>
      </c>
      <c r="C250" t="s">
        <v>36</v>
      </c>
      <c r="D250" t="str">
        <f t="shared" si="21"/>
        <v>2016-June</v>
      </c>
      <c r="E250" s="1">
        <v>6</v>
      </c>
      <c r="F250" s="1">
        <v>128.47999999999999</v>
      </c>
      <c r="G250" s="1">
        <v>140.84</v>
      </c>
      <c r="H250" s="1">
        <v>131.41999999999999</v>
      </c>
      <c r="I250" s="1">
        <v>133.54</v>
      </c>
      <c r="J250" s="1">
        <v>116.46</v>
      </c>
      <c r="K250" s="1">
        <v>138</v>
      </c>
      <c r="L250" s="1">
        <v>163.94</v>
      </c>
      <c r="M250" s="1">
        <v>176.82</v>
      </c>
      <c r="N250" s="1">
        <v>111.38</v>
      </c>
      <c r="O250" s="1">
        <v>137.38</v>
      </c>
      <c r="P250" s="1">
        <v>125.3</v>
      </c>
      <c r="Q250" s="1">
        <v>139</v>
      </c>
      <c r="R250" s="1">
        <v>138.12</v>
      </c>
      <c r="S250" s="1">
        <v>139.56</v>
      </c>
      <c r="T250" s="1">
        <v>133.85999999999999</v>
      </c>
      <c r="U250" s="1">
        <v>128.22</v>
      </c>
      <c r="V250" s="1">
        <v>133.04</v>
      </c>
      <c r="W250" s="1">
        <v>126.10000000000001</v>
      </c>
      <c r="X250" s="1">
        <v>123.9</v>
      </c>
      <c r="Y250" s="1">
        <v>127.47999999999999</v>
      </c>
      <c r="Z250" s="1">
        <v>124.64000000000001</v>
      </c>
      <c r="AA250" s="1">
        <v>114.44000000000001</v>
      </c>
      <c r="AB250" s="1">
        <v>123.02000000000001</v>
      </c>
      <c r="AC250" s="1">
        <v>130.80000000000001</v>
      </c>
      <c r="AD250" s="1">
        <v>120.55999999999999</v>
      </c>
      <c r="AE250" s="1">
        <v>122.26000000000002</v>
      </c>
      <c r="AF250" s="1">
        <v>131.34</v>
      </c>
      <c r="AG250" s="1">
        <f t="shared" si="22"/>
        <v>1780.6800000000003</v>
      </c>
      <c r="AH250" s="1">
        <f t="shared" si="23"/>
        <v>139.56</v>
      </c>
      <c r="AI250" s="1">
        <f t="shared" si="24"/>
        <v>395.12</v>
      </c>
      <c r="AJ250" s="1">
        <f t="shared" si="25"/>
        <v>126.10000000000001</v>
      </c>
      <c r="AK250" s="1">
        <f t="shared" si="26"/>
        <v>123.9</v>
      </c>
      <c r="AL250" s="1">
        <f t="shared" si="27"/>
        <v>863.2</v>
      </c>
    </row>
    <row r="251" spans="1:38" x14ac:dyDescent="0.3">
      <c r="A251" t="s">
        <v>28</v>
      </c>
      <c r="B251" s="1">
        <v>2016</v>
      </c>
      <c r="C251" t="s">
        <v>35</v>
      </c>
      <c r="D251" t="str">
        <f t="shared" si="21"/>
        <v>2016-May</v>
      </c>
      <c r="E251" s="1">
        <v>5</v>
      </c>
      <c r="F251" s="1">
        <v>126.78</v>
      </c>
      <c r="G251" s="1">
        <v>140.24</v>
      </c>
      <c r="H251" s="1">
        <v>126.86</v>
      </c>
      <c r="I251" s="1">
        <v>131.82</v>
      </c>
      <c r="J251" s="1">
        <v>114.32</v>
      </c>
      <c r="K251" s="1">
        <v>136.1</v>
      </c>
      <c r="L251" s="1">
        <v>152.9</v>
      </c>
      <c r="M251" s="1">
        <v>174.82</v>
      </c>
      <c r="N251" s="1">
        <v>109.62</v>
      </c>
      <c r="O251" s="1">
        <v>136.98000000000002</v>
      </c>
      <c r="P251" s="1">
        <v>123.96000000000001</v>
      </c>
      <c r="Q251" s="1">
        <v>137.62</v>
      </c>
      <c r="R251" s="1">
        <v>135.28000000000003</v>
      </c>
      <c r="S251" s="1">
        <v>139.16</v>
      </c>
      <c r="T251" s="1">
        <v>131.74</v>
      </c>
      <c r="U251" s="1">
        <v>126.26000000000002</v>
      </c>
      <c r="V251" s="1">
        <v>130.92000000000002</v>
      </c>
      <c r="W251" s="1">
        <v>125.83333333333333</v>
      </c>
      <c r="X251" s="1">
        <v>121.72</v>
      </c>
      <c r="Y251" s="1">
        <v>126.04</v>
      </c>
      <c r="Z251" s="1">
        <v>123.32000000000001</v>
      </c>
      <c r="AA251" s="1">
        <v>113.44000000000001</v>
      </c>
      <c r="AB251" s="1">
        <v>121.78</v>
      </c>
      <c r="AC251" s="1">
        <v>129.01999999999998</v>
      </c>
      <c r="AD251" s="1">
        <v>119.21999999999998</v>
      </c>
      <c r="AE251" s="1">
        <v>120.96</v>
      </c>
      <c r="AF251" s="1">
        <v>129.1</v>
      </c>
      <c r="AG251" s="1">
        <f t="shared" si="22"/>
        <v>1747.3</v>
      </c>
      <c r="AH251" s="1">
        <f t="shared" si="23"/>
        <v>139.16</v>
      </c>
      <c r="AI251" s="1">
        <f t="shared" si="24"/>
        <v>388.92</v>
      </c>
      <c r="AJ251" s="1">
        <f t="shared" si="25"/>
        <v>125.83333333333333</v>
      </c>
      <c r="AK251" s="1">
        <f t="shared" si="26"/>
        <v>121.72</v>
      </c>
      <c r="AL251" s="1">
        <f t="shared" si="27"/>
        <v>853.78000000000009</v>
      </c>
    </row>
    <row r="252" spans="1:38" x14ac:dyDescent="0.3">
      <c r="A252" t="s">
        <v>30</v>
      </c>
      <c r="B252" s="1">
        <v>2016</v>
      </c>
      <c r="C252" t="s">
        <v>35</v>
      </c>
      <c r="D252" t="str">
        <f t="shared" si="21"/>
        <v>2016-May</v>
      </c>
      <c r="E252" s="1">
        <v>5</v>
      </c>
      <c r="F252" s="1">
        <v>126.8</v>
      </c>
      <c r="G252" s="1">
        <v>140.84</v>
      </c>
      <c r="H252" s="1">
        <v>127.64</v>
      </c>
      <c r="I252" s="1">
        <v>131.86000000000001</v>
      </c>
      <c r="J252" s="1">
        <v>113.78</v>
      </c>
      <c r="K252" s="1">
        <v>135.78</v>
      </c>
      <c r="L252" s="1">
        <v>156.47999999999999</v>
      </c>
      <c r="M252" s="1">
        <v>176.48</v>
      </c>
      <c r="N252" s="1">
        <v>110.1</v>
      </c>
      <c r="O252" s="1">
        <v>137.80000000000001</v>
      </c>
      <c r="P252" s="1">
        <v>123.62</v>
      </c>
      <c r="Q252" s="1">
        <v>137.58000000000001</v>
      </c>
      <c r="R252" s="1">
        <v>135.91999999999999</v>
      </c>
      <c r="S252" s="1">
        <v>139.69999999999999</v>
      </c>
      <c r="T252" s="1">
        <v>131.23999999999998</v>
      </c>
      <c r="U252" s="1">
        <v>125.48000000000002</v>
      </c>
      <c r="V252" s="1">
        <v>130.36000000000001</v>
      </c>
      <c r="W252" s="1">
        <v>125.75</v>
      </c>
      <c r="X252" s="1">
        <v>120.9</v>
      </c>
      <c r="Y252" s="1">
        <v>125.62</v>
      </c>
      <c r="Z252" s="1">
        <v>122.97999999999999</v>
      </c>
      <c r="AA252" s="1">
        <v>113.26000000000002</v>
      </c>
      <c r="AB252" s="1">
        <v>121.4</v>
      </c>
      <c r="AC252" s="1">
        <v>129.14000000000001</v>
      </c>
      <c r="AD252" s="1">
        <v>119.16000000000001</v>
      </c>
      <c r="AE252" s="1">
        <v>120.75999999999999</v>
      </c>
      <c r="AF252" s="1">
        <v>129.06</v>
      </c>
      <c r="AG252" s="1">
        <f t="shared" si="22"/>
        <v>1754.6799999999998</v>
      </c>
      <c r="AH252" s="1">
        <f t="shared" si="23"/>
        <v>139.69999999999999</v>
      </c>
      <c r="AI252" s="1">
        <f t="shared" si="24"/>
        <v>387.08000000000004</v>
      </c>
      <c r="AJ252" s="1">
        <f t="shared" si="25"/>
        <v>125.75</v>
      </c>
      <c r="AK252" s="1">
        <f t="shared" si="26"/>
        <v>120.9</v>
      </c>
      <c r="AL252" s="1">
        <f t="shared" si="27"/>
        <v>852.31999999999994</v>
      </c>
    </row>
    <row r="253" spans="1:38" x14ac:dyDescent="0.3">
      <c r="A253" t="s">
        <v>31</v>
      </c>
      <c r="B253" s="1">
        <v>2016</v>
      </c>
      <c r="C253" t="s">
        <v>35</v>
      </c>
      <c r="D253" t="str">
        <f t="shared" si="21"/>
        <v>2016-May</v>
      </c>
      <c r="E253" s="1">
        <v>5</v>
      </c>
      <c r="F253" s="1">
        <v>127.66</v>
      </c>
      <c r="G253" s="1">
        <v>140.32</v>
      </c>
      <c r="H253" s="1">
        <v>128.16</v>
      </c>
      <c r="I253" s="1">
        <v>132.68</v>
      </c>
      <c r="J253" s="1">
        <v>115.76</v>
      </c>
      <c r="K253" s="1">
        <v>136.78</v>
      </c>
      <c r="L253" s="1">
        <v>157.84</v>
      </c>
      <c r="M253" s="1">
        <v>174.28</v>
      </c>
      <c r="N253" s="1">
        <v>109.94</v>
      </c>
      <c r="O253" s="1">
        <v>136.35999999999999</v>
      </c>
      <c r="P253" s="1">
        <v>124.78</v>
      </c>
      <c r="Q253" s="1">
        <v>138.30000000000001</v>
      </c>
      <c r="R253" s="1">
        <v>136.52000000000001</v>
      </c>
      <c r="S253" s="1">
        <v>138.85999999999999</v>
      </c>
      <c r="T253" s="1">
        <v>133.24</v>
      </c>
      <c r="U253" s="1">
        <v>127.78</v>
      </c>
      <c r="V253" s="1">
        <v>132.42000000000002</v>
      </c>
      <c r="W253" s="1">
        <v>125.66666666666667</v>
      </c>
      <c r="X253" s="1">
        <v>123.54</v>
      </c>
      <c r="Y253" s="1">
        <v>126.97999999999999</v>
      </c>
      <c r="Z253" s="1">
        <v>124.26000000000002</v>
      </c>
      <c r="AA253" s="1">
        <v>114.4</v>
      </c>
      <c r="AB253" s="1">
        <v>122.47999999999999</v>
      </c>
      <c r="AC253" s="1">
        <v>129.69999999999999</v>
      </c>
      <c r="AD253" s="1">
        <v>119.64000000000001</v>
      </c>
      <c r="AE253" s="1">
        <v>121.78</v>
      </c>
      <c r="AF253" s="1">
        <v>130.34</v>
      </c>
      <c r="AG253" s="1">
        <f t="shared" si="22"/>
        <v>1759.3799999999999</v>
      </c>
      <c r="AH253" s="1">
        <f t="shared" si="23"/>
        <v>138.85999999999999</v>
      </c>
      <c r="AI253" s="1">
        <f t="shared" si="24"/>
        <v>393.44</v>
      </c>
      <c r="AJ253" s="1">
        <f t="shared" si="25"/>
        <v>125.66666666666667</v>
      </c>
      <c r="AK253" s="1">
        <f t="shared" si="26"/>
        <v>123.54</v>
      </c>
      <c r="AL253" s="1">
        <f t="shared" si="27"/>
        <v>859.2399999999999</v>
      </c>
    </row>
    <row r="254" spans="1:38" x14ac:dyDescent="0.3">
      <c r="A254" t="s">
        <v>28</v>
      </c>
      <c r="B254" s="1">
        <v>2016</v>
      </c>
      <c r="C254" t="s">
        <v>34</v>
      </c>
      <c r="D254" t="str">
        <f t="shared" si="21"/>
        <v>2016-April</v>
      </c>
      <c r="E254" s="1">
        <v>4</v>
      </c>
      <c r="F254" s="1">
        <v>126.3</v>
      </c>
      <c r="G254" s="1">
        <v>138.22</v>
      </c>
      <c r="H254" s="1">
        <v>123.34</v>
      </c>
      <c r="I254" s="1">
        <v>131.04</v>
      </c>
      <c r="J254" s="1">
        <v>113.94</v>
      </c>
      <c r="K254" s="1">
        <v>135.12</v>
      </c>
      <c r="L254" s="1">
        <v>139.82</v>
      </c>
      <c r="M254" s="1">
        <v>171.18</v>
      </c>
      <c r="N254" s="1">
        <v>107.82</v>
      </c>
      <c r="O254" s="1">
        <v>135.98000000000002</v>
      </c>
      <c r="P254" s="1">
        <v>123.54</v>
      </c>
      <c r="Q254" s="1">
        <v>136.91999999999999</v>
      </c>
      <c r="R254" s="1">
        <v>132.72</v>
      </c>
      <c r="S254" s="1">
        <v>138.45999999999998</v>
      </c>
      <c r="T254" s="1">
        <v>131.24</v>
      </c>
      <c r="U254" s="1">
        <v>125.86000000000001</v>
      </c>
      <c r="V254" s="1">
        <v>130.44</v>
      </c>
      <c r="W254" s="1">
        <v>125.73333333333333</v>
      </c>
      <c r="X254" s="1">
        <v>121.25999999999999</v>
      </c>
      <c r="Y254" s="1">
        <v>125.6</v>
      </c>
      <c r="Z254" s="1">
        <v>122.9</v>
      </c>
      <c r="AA254" s="1">
        <v>112.46000000000001</v>
      </c>
      <c r="AB254" s="1">
        <v>121.43999999999998</v>
      </c>
      <c r="AC254" s="1">
        <v>128.06</v>
      </c>
      <c r="AD254" s="1">
        <v>118.46</v>
      </c>
      <c r="AE254" s="1">
        <v>120.22</v>
      </c>
      <c r="AF254" s="1">
        <v>127.7</v>
      </c>
      <c r="AG254" s="1">
        <f t="shared" si="22"/>
        <v>1715.94</v>
      </c>
      <c r="AH254" s="1">
        <f t="shared" si="23"/>
        <v>138.45999999999998</v>
      </c>
      <c r="AI254" s="1">
        <f t="shared" si="24"/>
        <v>387.54</v>
      </c>
      <c r="AJ254" s="1">
        <f t="shared" si="25"/>
        <v>125.73333333333333</v>
      </c>
      <c r="AK254" s="1">
        <f t="shared" si="26"/>
        <v>121.25999999999999</v>
      </c>
      <c r="AL254" s="1">
        <f t="shared" si="27"/>
        <v>849.1400000000001</v>
      </c>
    </row>
    <row r="255" spans="1:38" x14ac:dyDescent="0.3">
      <c r="A255" t="s">
        <v>30</v>
      </c>
      <c r="B255" s="1">
        <v>2016</v>
      </c>
      <c r="C255" t="s">
        <v>34</v>
      </c>
      <c r="D255" t="str">
        <f t="shared" si="21"/>
        <v>2016-April</v>
      </c>
      <c r="E255" s="1">
        <v>4</v>
      </c>
      <c r="F255" s="1">
        <v>126.18</v>
      </c>
      <c r="G255" s="1">
        <v>138.96</v>
      </c>
      <c r="H255" s="1">
        <v>123.74</v>
      </c>
      <c r="I255" s="1">
        <v>131.12</v>
      </c>
      <c r="J255" s="1">
        <v>113.3</v>
      </c>
      <c r="K255" s="1">
        <v>134.69999999999999</v>
      </c>
      <c r="L255" s="1">
        <v>142.02000000000001</v>
      </c>
      <c r="M255" s="1">
        <v>172.98</v>
      </c>
      <c r="N255" s="1">
        <v>108.56</v>
      </c>
      <c r="O255" s="1">
        <v>136.76</v>
      </c>
      <c r="P255" s="1">
        <v>123.3</v>
      </c>
      <c r="Q255" s="1">
        <v>136.92000000000002</v>
      </c>
      <c r="R255" s="1">
        <v>133.16000000000003</v>
      </c>
      <c r="S255" s="1">
        <v>138.9</v>
      </c>
      <c r="T255" s="1">
        <v>130.68</v>
      </c>
      <c r="U255" s="1">
        <v>125.1</v>
      </c>
      <c r="V255" s="1">
        <v>129.84</v>
      </c>
      <c r="W255" s="1">
        <v>125.8</v>
      </c>
      <c r="X255" s="1">
        <v>120.4</v>
      </c>
      <c r="Y255" s="1">
        <v>125.2</v>
      </c>
      <c r="Z255" s="1">
        <v>122.6</v>
      </c>
      <c r="AA255" s="1">
        <v>112.13999999999999</v>
      </c>
      <c r="AB255" s="1">
        <v>121.1</v>
      </c>
      <c r="AC255" s="1">
        <v>128.18</v>
      </c>
      <c r="AD255" s="1">
        <v>118.62</v>
      </c>
      <c r="AE255" s="1">
        <v>120.02000000000001</v>
      </c>
      <c r="AF255" s="1">
        <v>127.62</v>
      </c>
      <c r="AG255" s="1">
        <f t="shared" si="22"/>
        <v>1721.7</v>
      </c>
      <c r="AH255" s="1">
        <f t="shared" si="23"/>
        <v>138.9</v>
      </c>
      <c r="AI255" s="1">
        <f t="shared" si="24"/>
        <v>385.62</v>
      </c>
      <c r="AJ255" s="1">
        <f t="shared" si="25"/>
        <v>125.8</v>
      </c>
      <c r="AK255" s="1">
        <f t="shared" si="26"/>
        <v>120.4</v>
      </c>
      <c r="AL255" s="1">
        <f t="shared" si="27"/>
        <v>847.86</v>
      </c>
    </row>
    <row r="256" spans="1:38" x14ac:dyDescent="0.3">
      <c r="A256" t="s">
        <v>31</v>
      </c>
      <c r="B256" s="1">
        <v>2016</v>
      </c>
      <c r="C256" t="s">
        <v>34</v>
      </c>
      <c r="D256" t="str">
        <f t="shared" si="21"/>
        <v>2016-April</v>
      </c>
      <c r="E256" s="1">
        <v>4</v>
      </c>
      <c r="F256" s="1">
        <v>126.92</v>
      </c>
      <c r="G256" s="1">
        <v>138.82</v>
      </c>
      <c r="H256" s="1">
        <v>125.08</v>
      </c>
      <c r="I256" s="1">
        <v>131.80000000000001</v>
      </c>
      <c r="J256" s="1">
        <v>115.24</v>
      </c>
      <c r="K256" s="1">
        <v>135.96</v>
      </c>
      <c r="L256" s="1">
        <v>145.16</v>
      </c>
      <c r="M256" s="1">
        <v>171.44</v>
      </c>
      <c r="N256" s="1">
        <v>108.5</v>
      </c>
      <c r="O256" s="1">
        <v>135.30000000000001</v>
      </c>
      <c r="P256" s="1">
        <v>124.35999999999999</v>
      </c>
      <c r="Q256" s="1">
        <v>137.58000000000001</v>
      </c>
      <c r="R256" s="1">
        <v>134</v>
      </c>
      <c r="S256" s="1">
        <v>138.04000000000002</v>
      </c>
      <c r="T256" s="1">
        <v>132.58000000000001</v>
      </c>
      <c r="U256" s="1">
        <v>127.32000000000001</v>
      </c>
      <c r="V256" s="1">
        <v>131.80000000000001</v>
      </c>
      <c r="W256" s="1">
        <v>125.86666666666667</v>
      </c>
      <c r="X256" s="1">
        <v>123.08</v>
      </c>
      <c r="Y256" s="1">
        <v>126.5</v>
      </c>
      <c r="Z256" s="1">
        <v>123.84</v>
      </c>
      <c r="AA256" s="1">
        <v>113.4</v>
      </c>
      <c r="AB256" s="1">
        <v>122.02000000000001</v>
      </c>
      <c r="AC256" s="1">
        <v>128.69999999999999</v>
      </c>
      <c r="AD256" s="1">
        <v>119.08</v>
      </c>
      <c r="AE256" s="1">
        <v>121.03999999999999</v>
      </c>
      <c r="AF256" s="1">
        <v>128.94</v>
      </c>
      <c r="AG256" s="1">
        <f t="shared" si="22"/>
        <v>1730.1599999999999</v>
      </c>
      <c r="AH256" s="1">
        <f t="shared" si="23"/>
        <v>138.04000000000002</v>
      </c>
      <c r="AI256" s="1">
        <f t="shared" si="24"/>
        <v>391.70000000000005</v>
      </c>
      <c r="AJ256" s="1">
        <f t="shared" si="25"/>
        <v>125.86666666666667</v>
      </c>
      <c r="AK256" s="1">
        <f t="shared" si="26"/>
        <v>123.08</v>
      </c>
      <c r="AL256" s="1">
        <f t="shared" si="27"/>
        <v>854.58</v>
      </c>
    </row>
    <row r="257" spans="1:38" x14ac:dyDescent="0.3">
      <c r="A257" t="s">
        <v>28</v>
      </c>
      <c r="B257" s="1">
        <v>2016</v>
      </c>
      <c r="C257" t="s">
        <v>33</v>
      </c>
      <c r="D257" t="str">
        <f t="shared" si="21"/>
        <v>2016-March</v>
      </c>
      <c r="E257" s="1">
        <v>3</v>
      </c>
      <c r="F257" s="1">
        <v>126.18</v>
      </c>
      <c r="G257" s="1">
        <v>136.1</v>
      </c>
      <c r="H257" s="1">
        <v>123.34</v>
      </c>
      <c r="I257" s="1">
        <v>130.38</v>
      </c>
      <c r="J257" s="1">
        <v>113.56</v>
      </c>
      <c r="K257" s="1">
        <v>129.4</v>
      </c>
      <c r="L257" s="1">
        <v>131.9</v>
      </c>
      <c r="M257" s="1">
        <v>167.08</v>
      </c>
      <c r="N257" s="1">
        <v>103.44</v>
      </c>
      <c r="O257" s="1">
        <v>135.32</v>
      </c>
      <c r="P257" s="1">
        <v>123.04</v>
      </c>
      <c r="Q257" s="1">
        <v>136.4</v>
      </c>
      <c r="R257" s="1">
        <v>130.54000000000002</v>
      </c>
      <c r="S257" s="1">
        <v>137.82</v>
      </c>
      <c r="T257" s="1">
        <v>130.78</v>
      </c>
      <c r="U257" s="1">
        <v>125.54</v>
      </c>
      <c r="V257" s="1">
        <v>130</v>
      </c>
      <c r="W257" s="1">
        <v>125.13333333333333</v>
      </c>
      <c r="X257" s="1">
        <v>121.16000000000001</v>
      </c>
      <c r="Y257" s="1">
        <v>125.17999999999999</v>
      </c>
      <c r="Z257" s="1">
        <v>122.51999999999998</v>
      </c>
      <c r="AA257" s="1">
        <v>111.47999999999999</v>
      </c>
      <c r="AB257" s="1">
        <v>120.97999999999999</v>
      </c>
      <c r="AC257" s="1">
        <v>127.26000000000002</v>
      </c>
      <c r="AD257" s="1">
        <v>117.56000000000002</v>
      </c>
      <c r="AE257" s="1">
        <v>119.52000000000001</v>
      </c>
      <c r="AF257" s="1">
        <v>126.42</v>
      </c>
      <c r="AG257" s="1">
        <f t="shared" si="22"/>
        <v>1686.6799999999998</v>
      </c>
      <c r="AH257" s="1">
        <f t="shared" si="23"/>
        <v>137.82</v>
      </c>
      <c r="AI257" s="1">
        <f t="shared" si="24"/>
        <v>386.32</v>
      </c>
      <c r="AJ257" s="1">
        <f t="shared" si="25"/>
        <v>125.13333333333333</v>
      </c>
      <c r="AK257" s="1">
        <f t="shared" si="26"/>
        <v>121.16000000000001</v>
      </c>
      <c r="AL257" s="1">
        <f t="shared" si="27"/>
        <v>844.5</v>
      </c>
    </row>
    <row r="258" spans="1:38" x14ac:dyDescent="0.3">
      <c r="A258" t="s">
        <v>30</v>
      </c>
      <c r="B258" s="1">
        <v>2016</v>
      </c>
      <c r="C258" t="s">
        <v>33</v>
      </c>
      <c r="D258" t="str">
        <f t="shared" si="21"/>
        <v>2016-March</v>
      </c>
      <c r="E258" s="1">
        <v>3</v>
      </c>
      <c r="F258" s="1">
        <v>126.04</v>
      </c>
      <c r="G258" s="1">
        <v>136.58000000000001</v>
      </c>
      <c r="H258" s="1">
        <v>122.72</v>
      </c>
      <c r="I258" s="1">
        <v>130.46</v>
      </c>
      <c r="J258" s="1">
        <v>112.86</v>
      </c>
      <c r="K258" s="1">
        <v>130.02000000000001</v>
      </c>
      <c r="L258" s="1">
        <v>132.76</v>
      </c>
      <c r="M258" s="1">
        <v>168.34</v>
      </c>
      <c r="N258" s="1">
        <v>104.64</v>
      </c>
      <c r="O258" s="1">
        <v>136.04</v>
      </c>
      <c r="P258" s="1">
        <v>122.78000000000002</v>
      </c>
      <c r="Q258" s="1">
        <v>136.34</v>
      </c>
      <c r="R258" s="1">
        <v>130.82000000000002</v>
      </c>
      <c r="S258" s="1">
        <v>138.24</v>
      </c>
      <c r="T258" s="1">
        <v>130.26</v>
      </c>
      <c r="U258" s="1">
        <v>124.78</v>
      </c>
      <c r="V258" s="1">
        <v>129.44</v>
      </c>
      <c r="W258" s="1">
        <v>125.25</v>
      </c>
      <c r="X258" s="1">
        <v>120.21999999999998</v>
      </c>
      <c r="Y258" s="1">
        <v>124.74000000000001</v>
      </c>
      <c r="Z258" s="1">
        <v>122.2</v>
      </c>
      <c r="AA258" s="1">
        <v>111.17999999999999</v>
      </c>
      <c r="AB258" s="1">
        <v>120.7</v>
      </c>
      <c r="AC258" s="1">
        <v>127.30000000000003</v>
      </c>
      <c r="AD258" s="1">
        <v>117.7</v>
      </c>
      <c r="AE258" s="1">
        <v>119.3</v>
      </c>
      <c r="AF258" s="1">
        <v>126.28</v>
      </c>
      <c r="AG258" s="1">
        <f t="shared" si="22"/>
        <v>1690.3999999999999</v>
      </c>
      <c r="AH258" s="1">
        <f t="shared" si="23"/>
        <v>138.24</v>
      </c>
      <c r="AI258" s="1">
        <f t="shared" si="24"/>
        <v>384.48</v>
      </c>
      <c r="AJ258" s="1">
        <f t="shared" si="25"/>
        <v>125.25</v>
      </c>
      <c r="AK258" s="1">
        <f t="shared" si="26"/>
        <v>120.21999999999998</v>
      </c>
      <c r="AL258" s="1">
        <f t="shared" si="27"/>
        <v>843.12</v>
      </c>
    </row>
    <row r="259" spans="1:38" x14ac:dyDescent="0.3">
      <c r="A259" t="s">
        <v>31</v>
      </c>
      <c r="B259" s="1">
        <v>2016</v>
      </c>
      <c r="C259" t="s">
        <v>33</v>
      </c>
      <c r="D259" t="str">
        <f t="shared" ref="D259:D322" si="28">CONCATENATE(B259,"-",C259)</f>
        <v>2016-March</v>
      </c>
      <c r="E259" s="1">
        <v>3</v>
      </c>
      <c r="F259" s="1">
        <v>126.6</v>
      </c>
      <c r="G259" s="1">
        <v>136.82</v>
      </c>
      <c r="H259" s="1">
        <v>122.86</v>
      </c>
      <c r="I259" s="1">
        <v>131</v>
      </c>
      <c r="J259" s="1">
        <v>114.92</v>
      </c>
      <c r="K259" s="1">
        <v>133.66</v>
      </c>
      <c r="L259" s="1">
        <v>135.5</v>
      </c>
      <c r="M259" s="1">
        <v>167.48</v>
      </c>
      <c r="N259" s="1">
        <v>105.78</v>
      </c>
      <c r="O259" s="1">
        <v>134.45999999999998</v>
      </c>
      <c r="P259" s="1">
        <v>123.86000000000001</v>
      </c>
      <c r="Q259" s="1">
        <v>136.91999999999999</v>
      </c>
      <c r="R259" s="1">
        <v>131.76000000000002</v>
      </c>
      <c r="S259" s="1">
        <v>137.32</v>
      </c>
      <c r="T259" s="1">
        <v>132.06</v>
      </c>
      <c r="U259" s="1">
        <v>126.94000000000001</v>
      </c>
      <c r="V259" s="1">
        <v>131.30000000000001</v>
      </c>
      <c r="W259" s="1">
        <v>125.36666666666667</v>
      </c>
      <c r="X259" s="1">
        <v>122.74000000000001</v>
      </c>
      <c r="Y259" s="1">
        <v>125.97999999999999</v>
      </c>
      <c r="Z259" s="1">
        <v>123.42</v>
      </c>
      <c r="AA259" s="1">
        <v>112.5</v>
      </c>
      <c r="AB259" s="1">
        <v>121.6</v>
      </c>
      <c r="AC259" s="1">
        <v>127.83999999999999</v>
      </c>
      <c r="AD259" s="1">
        <v>118.22</v>
      </c>
      <c r="AE259" s="1">
        <v>120.34</v>
      </c>
      <c r="AF259" s="1">
        <v>127.58000000000001</v>
      </c>
      <c r="AG259" s="1">
        <f t="shared" ref="AG259:AG322" si="29">SUM(F259:R259)</f>
        <v>1701.6200000000001</v>
      </c>
      <c r="AH259" s="1">
        <f t="shared" ref="AH259:AH322" si="30">SUM(S259)</f>
        <v>137.32</v>
      </c>
      <c r="AI259" s="1">
        <f t="shared" ref="AI259:AI322" si="31">SUM(T259:V259)</f>
        <v>390.3</v>
      </c>
      <c r="AJ259" s="1">
        <f t="shared" ref="AJ259:AJ322" si="32">SUM(W259)</f>
        <v>125.36666666666667</v>
      </c>
      <c r="AK259" s="1">
        <f t="shared" ref="AK259:AK322" si="33">SUM(X259)</f>
        <v>122.74000000000001</v>
      </c>
      <c r="AL259" s="1">
        <f t="shared" ref="AL259:AL322" si="34">SUM(Y259:AE259)</f>
        <v>849.90000000000009</v>
      </c>
    </row>
    <row r="260" spans="1:38" x14ac:dyDescent="0.3">
      <c r="A260" t="s">
        <v>28</v>
      </c>
      <c r="B260" s="1">
        <v>2016</v>
      </c>
      <c r="C260" t="s">
        <v>32</v>
      </c>
      <c r="D260" t="str">
        <f t="shared" si="28"/>
        <v>2016-February</v>
      </c>
      <c r="E260" s="1">
        <v>2</v>
      </c>
      <c r="F260" s="1">
        <v>126.08</v>
      </c>
      <c r="G260" s="1">
        <v>134.74</v>
      </c>
      <c r="H260" s="1">
        <v>127.1</v>
      </c>
      <c r="I260" s="1">
        <v>130.16</v>
      </c>
      <c r="J260" s="1">
        <v>113.58</v>
      </c>
      <c r="K260" s="1">
        <v>125.1</v>
      </c>
      <c r="L260" s="1">
        <v>129.84</v>
      </c>
      <c r="M260" s="1">
        <v>167.62</v>
      </c>
      <c r="N260" s="1">
        <v>99.76</v>
      </c>
      <c r="O260" s="1">
        <v>134.96</v>
      </c>
      <c r="P260" s="1">
        <v>122.8</v>
      </c>
      <c r="Q260" s="1">
        <v>135.96</v>
      </c>
      <c r="R260" s="1">
        <v>129.71999999999997</v>
      </c>
      <c r="S260" s="1">
        <v>137.18</v>
      </c>
      <c r="T260" s="1">
        <v>130.35999999999999</v>
      </c>
      <c r="U260" s="1">
        <v>125.23999999999998</v>
      </c>
      <c r="V260" s="1">
        <v>129.64000000000001</v>
      </c>
      <c r="W260" s="1">
        <v>124.56666666666668</v>
      </c>
      <c r="X260" s="1">
        <v>121.67999999999999</v>
      </c>
      <c r="Y260" s="1">
        <v>124.7</v>
      </c>
      <c r="Z260" s="1">
        <v>122.16000000000001</v>
      </c>
      <c r="AA260" s="1">
        <v>111.3</v>
      </c>
      <c r="AB260" s="1">
        <v>120.6</v>
      </c>
      <c r="AC260" s="1">
        <v>126.78</v>
      </c>
      <c r="AD260" s="1">
        <v>116.82000000000001</v>
      </c>
      <c r="AE260" s="1">
        <v>119.12</v>
      </c>
      <c r="AF260" s="1">
        <v>125.9</v>
      </c>
      <c r="AG260" s="1">
        <f t="shared" si="29"/>
        <v>1677.42</v>
      </c>
      <c r="AH260" s="1">
        <f t="shared" si="30"/>
        <v>137.18</v>
      </c>
      <c r="AI260" s="1">
        <f t="shared" si="31"/>
        <v>385.24</v>
      </c>
      <c r="AJ260" s="1">
        <f t="shared" si="32"/>
        <v>124.56666666666668</v>
      </c>
      <c r="AK260" s="1">
        <f t="shared" si="33"/>
        <v>121.67999999999999</v>
      </c>
      <c r="AL260" s="1">
        <f t="shared" si="34"/>
        <v>841.48</v>
      </c>
    </row>
    <row r="261" spans="1:38" x14ac:dyDescent="0.3">
      <c r="A261" t="s">
        <v>30</v>
      </c>
      <c r="B261" s="1">
        <v>2016</v>
      </c>
      <c r="C261" t="s">
        <v>32</v>
      </c>
      <c r="D261" t="str">
        <f t="shared" si="28"/>
        <v>2016-February</v>
      </c>
      <c r="E261" s="1">
        <v>2</v>
      </c>
      <c r="F261" s="1">
        <v>125.96</v>
      </c>
      <c r="G261" s="1">
        <v>135.02000000000001</v>
      </c>
      <c r="H261" s="1">
        <v>126.48</v>
      </c>
      <c r="I261" s="1">
        <v>130.06</v>
      </c>
      <c r="J261" s="1">
        <v>112.78</v>
      </c>
      <c r="K261" s="1">
        <v>124.26</v>
      </c>
      <c r="L261" s="1">
        <v>129.62</v>
      </c>
      <c r="M261" s="1">
        <v>167.92</v>
      </c>
      <c r="N261" s="1">
        <v>100.2</v>
      </c>
      <c r="O261" s="1">
        <v>135.61999999999998</v>
      </c>
      <c r="P261" s="1">
        <v>122.46</v>
      </c>
      <c r="Q261" s="1">
        <v>135.94</v>
      </c>
      <c r="R261" s="1">
        <v>129.61999999999998</v>
      </c>
      <c r="S261" s="1">
        <v>137.6</v>
      </c>
      <c r="T261" s="1">
        <v>129.84</v>
      </c>
      <c r="U261" s="1">
        <v>124.5</v>
      </c>
      <c r="V261" s="1">
        <v>129.06</v>
      </c>
      <c r="W261" s="1">
        <v>124.65</v>
      </c>
      <c r="X261" s="1">
        <v>120.66000000000001</v>
      </c>
      <c r="Y261" s="1">
        <v>124.3</v>
      </c>
      <c r="Z261" s="1">
        <v>121.88</v>
      </c>
      <c r="AA261" s="1">
        <v>110.7</v>
      </c>
      <c r="AB261" s="1">
        <v>120.26000000000002</v>
      </c>
      <c r="AC261" s="1">
        <v>126.73999999999998</v>
      </c>
      <c r="AD261" s="1">
        <v>116.92</v>
      </c>
      <c r="AE261" s="1">
        <v>118.8</v>
      </c>
      <c r="AF261" s="1">
        <v>125.52000000000001</v>
      </c>
      <c r="AG261" s="1">
        <f t="shared" si="29"/>
        <v>1675.9399999999998</v>
      </c>
      <c r="AH261" s="1">
        <f t="shared" si="30"/>
        <v>137.6</v>
      </c>
      <c r="AI261" s="1">
        <f t="shared" si="31"/>
        <v>383.4</v>
      </c>
      <c r="AJ261" s="1">
        <f t="shared" si="32"/>
        <v>124.65</v>
      </c>
      <c r="AK261" s="1">
        <f t="shared" si="33"/>
        <v>120.66000000000001</v>
      </c>
      <c r="AL261" s="1">
        <f t="shared" si="34"/>
        <v>839.59999999999991</v>
      </c>
    </row>
    <row r="262" spans="1:38" x14ac:dyDescent="0.3">
      <c r="A262" t="s">
        <v>31</v>
      </c>
      <c r="B262" s="1">
        <v>2016</v>
      </c>
      <c r="C262" t="s">
        <v>32</v>
      </c>
      <c r="D262" t="str">
        <f t="shared" si="28"/>
        <v>2016-February</v>
      </c>
      <c r="E262" s="1">
        <v>2</v>
      </c>
      <c r="F262" s="1">
        <v>126.48</v>
      </c>
      <c r="G262" s="1">
        <v>135.08000000000001</v>
      </c>
      <c r="H262" s="1">
        <v>125.1</v>
      </c>
      <c r="I262" s="1">
        <v>130.4</v>
      </c>
      <c r="J262" s="1">
        <v>114.74</v>
      </c>
      <c r="K262" s="1">
        <v>128.16</v>
      </c>
      <c r="L262" s="1">
        <v>130.6</v>
      </c>
      <c r="M262" s="1">
        <v>165.18</v>
      </c>
      <c r="N262" s="1">
        <v>101.38</v>
      </c>
      <c r="O262" s="1">
        <v>133.95999999999998</v>
      </c>
      <c r="P262" s="1">
        <v>123.42</v>
      </c>
      <c r="Q262" s="1">
        <v>136.38</v>
      </c>
      <c r="R262" s="1">
        <v>130.16</v>
      </c>
      <c r="S262" s="1">
        <v>136.69999999999999</v>
      </c>
      <c r="T262" s="1">
        <v>131.6</v>
      </c>
      <c r="U262" s="1">
        <v>126.6</v>
      </c>
      <c r="V262" s="1">
        <v>130.88</v>
      </c>
      <c r="W262" s="1">
        <v>124.73333333333335</v>
      </c>
      <c r="X262" s="1">
        <v>122.85999999999999</v>
      </c>
      <c r="Y262" s="1">
        <v>125.54</v>
      </c>
      <c r="Z262" s="1">
        <v>123.02000000000001</v>
      </c>
      <c r="AA262" s="1">
        <v>111.75999999999999</v>
      </c>
      <c r="AB262" s="1">
        <v>121.14000000000001</v>
      </c>
      <c r="AC262" s="1">
        <v>127.05999999999999</v>
      </c>
      <c r="AD262" s="1">
        <v>117.36000000000001</v>
      </c>
      <c r="AE262" s="1">
        <v>119.7</v>
      </c>
      <c r="AF262" s="1">
        <v>126.55999999999999</v>
      </c>
      <c r="AG262" s="1">
        <f t="shared" si="29"/>
        <v>1681.0400000000002</v>
      </c>
      <c r="AH262" s="1">
        <f t="shared" si="30"/>
        <v>136.69999999999999</v>
      </c>
      <c r="AI262" s="1">
        <f t="shared" si="31"/>
        <v>389.08</v>
      </c>
      <c r="AJ262" s="1">
        <f t="shared" si="32"/>
        <v>124.73333333333335</v>
      </c>
      <c r="AK262" s="1">
        <f t="shared" si="33"/>
        <v>122.85999999999999</v>
      </c>
      <c r="AL262" s="1">
        <f t="shared" si="34"/>
        <v>845.58</v>
      </c>
    </row>
    <row r="263" spans="1:38" x14ac:dyDescent="0.3">
      <c r="A263" t="s">
        <v>28</v>
      </c>
      <c r="B263" s="1">
        <v>2016</v>
      </c>
      <c r="C263" t="s">
        <v>29</v>
      </c>
      <c r="D263" t="str">
        <f t="shared" si="28"/>
        <v>2016-January</v>
      </c>
      <c r="E263" s="1">
        <v>1</v>
      </c>
      <c r="F263" s="1">
        <v>125.9</v>
      </c>
      <c r="G263" s="1">
        <v>134.4</v>
      </c>
      <c r="H263" s="1">
        <v>129.02000000000001</v>
      </c>
      <c r="I263" s="1">
        <v>129.94</v>
      </c>
      <c r="J263" s="1">
        <v>114.2</v>
      </c>
      <c r="K263" s="1">
        <v>125.06</v>
      </c>
      <c r="L263" s="1">
        <v>137.16</v>
      </c>
      <c r="M263" s="1">
        <v>171.58</v>
      </c>
      <c r="N263" s="1">
        <v>97.92</v>
      </c>
      <c r="O263" s="1">
        <v>134.45999999999998</v>
      </c>
      <c r="P263" s="1">
        <v>122.58</v>
      </c>
      <c r="Q263" s="1">
        <v>135.5</v>
      </c>
      <c r="R263" s="1">
        <v>130.66000000000003</v>
      </c>
      <c r="S263" s="1">
        <v>136.54000000000002</v>
      </c>
      <c r="T263" s="1">
        <v>129.88000000000002</v>
      </c>
      <c r="U263" s="1">
        <v>124.73999999999998</v>
      </c>
      <c r="V263" s="1">
        <v>129.13999999999999</v>
      </c>
      <c r="W263" s="1">
        <v>123.73333333333335</v>
      </c>
      <c r="X263" s="1">
        <v>121.85999999999999</v>
      </c>
      <c r="Y263" s="1">
        <v>124.25999999999999</v>
      </c>
      <c r="Z263" s="1">
        <v>121.72</v>
      </c>
      <c r="AA263" s="1">
        <v>111.32000000000001</v>
      </c>
      <c r="AB263" s="1">
        <v>120.16</v>
      </c>
      <c r="AC263" s="1">
        <v>126.46</v>
      </c>
      <c r="AD263" s="1">
        <v>115.28</v>
      </c>
      <c r="AE263" s="1">
        <v>118.7</v>
      </c>
      <c r="AF263" s="1">
        <v>126.05999999999999</v>
      </c>
      <c r="AG263" s="1">
        <f t="shared" si="29"/>
        <v>1688.38</v>
      </c>
      <c r="AH263" s="1">
        <f t="shared" si="30"/>
        <v>136.54000000000002</v>
      </c>
      <c r="AI263" s="1">
        <f t="shared" si="31"/>
        <v>383.76</v>
      </c>
      <c r="AJ263" s="1">
        <f t="shared" si="32"/>
        <v>123.73333333333335</v>
      </c>
      <c r="AK263" s="1">
        <f t="shared" si="33"/>
        <v>121.85999999999999</v>
      </c>
      <c r="AL263" s="1">
        <f t="shared" si="34"/>
        <v>837.90000000000009</v>
      </c>
    </row>
    <row r="264" spans="1:38" x14ac:dyDescent="0.3">
      <c r="A264" t="s">
        <v>30</v>
      </c>
      <c r="B264" s="1">
        <v>2016</v>
      </c>
      <c r="C264" t="s">
        <v>29</v>
      </c>
      <c r="D264" t="str">
        <f t="shared" si="28"/>
        <v>2016-January</v>
      </c>
      <c r="E264" s="1">
        <v>1</v>
      </c>
      <c r="F264" s="1">
        <v>125.82</v>
      </c>
      <c r="G264" s="1">
        <v>134.6</v>
      </c>
      <c r="H264" s="1">
        <v>129.46</v>
      </c>
      <c r="I264" s="1">
        <v>129.94</v>
      </c>
      <c r="J264" s="1">
        <v>113.38</v>
      </c>
      <c r="K264" s="1">
        <v>123.72</v>
      </c>
      <c r="L264" s="1">
        <v>135.19999999999999</v>
      </c>
      <c r="M264" s="1">
        <v>172.3</v>
      </c>
      <c r="N264" s="1">
        <v>98.14</v>
      </c>
      <c r="O264" s="1">
        <v>135.26000000000002</v>
      </c>
      <c r="P264" s="1">
        <v>122.32000000000001</v>
      </c>
      <c r="Q264" s="1">
        <v>135.47999999999996</v>
      </c>
      <c r="R264" s="1">
        <v>130.35999999999999</v>
      </c>
      <c r="S264" s="1">
        <v>137</v>
      </c>
      <c r="T264" s="1">
        <v>129.42000000000002</v>
      </c>
      <c r="U264" s="1">
        <v>124.11999999999998</v>
      </c>
      <c r="V264" s="1">
        <v>128.66</v>
      </c>
      <c r="W264" s="1">
        <v>123.9</v>
      </c>
      <c r="X264" s="1">
        <v>121.24000000000001</v>
      </c>
      <c r="Y264" s="1">
        <v>123.85999999999999</v>
      </c>
      <c r="Z264" s="1">
        <v>121.47999999999999</v>
      </c>
      <c r="AA264" s="1">
        <v>110.88</v>
      </c>
      <c r="AB264" s="1">
        <v>119.94000000000001</v>
      </c>
      <c r="AC264" s="1">
        <v>126.53999999999999</v>
      </c>
      <c r="AD264" s="1">
        <v>115.62</v>
      </c>
      <c r="AE264" s="1">
        <v>118.5</v>
      </c>
      <c r="AF264" s="1">
        <v>125.64000000000001</v>
      </c>
      <c r="AG264" s="1">
        <f t="shared" si="29"/>
        <v>1685.9799999999998</v>
      </c>
      <c r="AH264" s="1">
        <f t="shared" si="30"/>
        <v>137</v>
      </c>
      <c r="AI264" s="1">
        <f t="shared" si="31"/>
        <v>382.2</v>
      </c>
      <c r="AJ264" s="1">
        <f t="shared" si="32"/>
        <v>123.9</v>
      </c>
      <c r="AK264" s="1">
        <f t="shared" si="33"/>
        <v>121.24000000000001</v>
      </c>
      <c r="AL264" s="1">
        <f t="shared" si="34"/>
        <v>836.81999999999994</v>
      </c>
    </row>
    <row r="265" spans="1:38" x14ac:dyDescent="0.3">
      <c r="A265" t="s">
        <v>31</v>
      </c>
      <c r="B265" s="1">
        <v>2016</v>
      </c>
      <c r="C265" t="s">
        <v>29</v>
      </c>
      <c r="D265" t="str">
        <f t="shared" si="28"/>
        <v>2016-January</v>
      </c>
      <c r="E265" s="1">
        <v>1</v>
      </c>
      <c r="F265" s="1">
        <v>126.34</v>
      </c>
      <c r="G265" s="1">
        <v>134.30000000000001</v>
      </c>
      <c r="H265" s="1">
        <v>128.08000000000001</v>
      </c>
      <c r="I265" s="1">
        <v>130.19999999999999</v>
      </c>
      <c r="J265" s="1">
        <v>115.1</v>
      </c>
      <c r="K265" s="1">
        <v>126.26</v>
      </c>
      <c r="L265" s="1">
        <v>132.52000000000001</v>
      </c>
      <c r="M265" s="1">
        <v>167.7</v>
      </c>
      <c r="N265" s="1">
        <v>98.88</v>
      </c>
      <c r="O265" s="1">
        <v>133.51999999999998</v>
      </c>
      <c r="P265" s="1">
        <v>123.2</v>
      </c>
      <c r="Q265" s="1">
        <v>135.94</v>
      </c>
      <c r="R265" s="1">
        <v>130.19999999999999</v>
      </c>
      <c r="S265" s="1">
        <v>136.1</v>
      </c>
      <c r="T265" s="1">
        <v>131.14000000000001</v>
      </c>
      <c r="U265" s="1">
        <v>126.2</v>
      </c>
      <c r="V265" s="1">
        <v>130.44</v>
      </c>
      <c r="W265" s="1">
        <v>124.06666666666668</v>
      </c>
      <c r="X265" s="1">
        <v>123.25999999999999</v>
      </c>
      <c r="Y265" s="1">
        <v>125.08000000000001</v>
      </c>
      <c r="Z265" s="1">
        <v>122.62</v>
      </c>
      <c r="AA265" s="1">
        <v>111.82000000000001</v>
      </c>
      <c r="AB265" s="1">
        <v>120.74000000000001</v>
      </c>
      <c r="AC265" s="1">
        <v>126.75999999999999</v>
      </c>
      <c r="AD265" s="1">
        <v>116.3</v>
      </c>
      <c r="AE265" s="1">
        <v>119.36000000000001</v>
      </c>
      <c r="AF265" s="1">
        <v>126.4</v>
      </c>
      <c r="AG265" s="1">
        <f t="shared" si="29"/>
        <v>1682.2400000000002</v>
      </c>
      <c r="AH265" s="1">
        <f t="shared" si="30"/>
        <v>136.1</v>
      </c>
      <c r="AI265" s="1">
        <f t="shared" si="31"/>
        <v>387.78000000000003</v>
      </c>
      <c r="AJ265" s="1">
        <f t="shared" si="32"/>
        <v>124.06666666666668</v>
      </c>
      <c r="AK265" s="1">
        <f t="shared" si="33"/>
        <v>123.25999999999999</v>
      </c>
      <c r="AL265" s="1">
        <f t="shared" si="34"/>
        <v>842.68</v>
      </c>
    </row>
    <row r="266" spans="1:38" x14ac:dyDescent="0.3">
      <c r="A266" t="s">
        <v>28</v>
      </c>
      <c r="B266" s="1">
        <v>2015</v>
      </c>
      <c r="C266" t="s">
        <v>43</v>
      </c>
      <c r="D266" t="str">
        <f t="shared" si="28"/>
        <v>2015-December</v>
      </c>
      <c r="E266" s="1">
        <v>12</v>
      </c>
      <c r="F266" s="1">
        <v>125.56</v>
      </c>
      <c r="G266" s="1">
        <v>132.69999999999999</v>
      </c>
      <c r="H266" s="1">
        <v>126.74</v>
      </c>
      <c r="I266" s="1">
        <v>129.46</v>
      </c>
      <c r="J266" s="1">
        <v>114.44</v>
      </c>
      <c r="K266" s="1">
        <v>125.92</v>
      </c>
      <c r="L266" s="1">
        <v>145.08000000000001</v>
      </c>
      <c r="M266" s="1">
        <v>174.34</v>
      </c>
      <c r="N266" s="1">
        <v>95.4</v>
      </c>
      <c r="O266" s="1">
        <v>133.74</v>
      </c>
      <c r="P266" s="1">
        <v>122.05999999999999</v>
      </c>
      <c r="Q266" s="1">
        <v>134.91999999999999</v>
      </c>
      <c r="R266" s="1">
        <v>131.37999999999997</v>
      </c>
      <c r="S266" s="1">
        <v>135.78</v>
      </c>
      <c r="T266" s="1">
        <v>129.32</v>
      </c>
      <c r="U266" s="1">
        <v>124.3</v>
      </c>
      <c r="V266" s="1">
        <v>128.57999999999998</v>
      </c>
      <c r="W266" s="1">
        <v>122.73333333333335</v>
      </c>
      <c r="X266" s="1">
        <v>121.35999999999999</v>
      </c>
      <c r="Y266" s="1">
        <v>123.76000000000002</v>
      </c>
      <c r="Z266" s="1">
        <v>121.17999999999999</v>
      </c>
      <c r="AA266" s="1">
        <v>111.46</v>
      </c>
      <c r="AB266" s="1">
        <v>119.83999999999999</v>
      </c>
      <c r="AC266" s="1">
        <v>126.2</v>
      </c>
      <c r="AD266" s="1">
        <v>113.97999999999999</v>
      </c>
      <c r="AE266" s="1">
        <v>118.33999999999999</v>
      </c>
      <c r="AF266" s="1">
        <v>126.06000000000002</v>
      </c>
      <c r="AG266" s="1">
        <f t="shared" si="29"/>
        <v>1691.74</v>
      </c>
      <c r="AH266" s="1">
        <f t="shared" si="30"/>
        <v>135.78</v>
      </c>
      <c r="AI266" s="1">
        <f t="shared" si="31"/>
        <v>382.2</v>
      </c>
      <c r="AJ266" s="1">
        <f t="shared" si="32"/>
        <v>122.73333333333335</v>
      </c>
      <c r="AK266" s="1">
        <f t="shared" si="33"/>
        <v>121.35999999999999</v>
      </c>
      <c r="AL266" s="1">
        <f t="shared" si="34"/>
        <v>834.76</v>
      </c>
    </row>
    <row r="267" spans="1:38" x14ac:dyDescent="0.3">
      <c r="A267" t="s">
        <v>30</v>
      </c>
      <c r="B267" s="1">
        <v>2015</v>
      </c>
      <c r="C267" t="s">
        <v>43</v>
      </c>
      <c r="D267" t="str">
        <f t="shared" si="28"/>
        <v>2015-December</v>
      </c>
      <c r="E267" s="1">
        <v>12</v>
      </c>
      <c r="F267" s="1">
        <v>125.52</v>
      </c>
      <c r="G267" s="1">
        <v>133.26</v>
      </c>
      <c r="H267" s="1">
        <v>127.8</v>
      </c>
      <c r="I267" s="1">
        <v>129.47999999999999</v>
      </c>
      <c r="J267" s="1">
        <v>113.88</v>
      </c>
      <c r="K267" s="1">
        <v>124.74</v>
      </c>
      <c r="L267" s="1">
        <v>144.28</v>
      </c>
      <c r="M267" s="1">
        <v>176.06</v>
      </c>
      <c r="N267" s="1">
        <v>95.8</v>
      </c>
      <c r="O267" s="1">
        <v>134.54</v>
      </c>
      <c r="P267" s="1">
        <v>121.94000000000001</v>
      </c>
      <c r="Q267" s="1">
        <v>134.95999999999998</v>
      </c>
      <c r="R267" s="1">
        <v>131.35999999999999</v>
      </c>
      <c r="S267" s="1">
        <v>136.19999999999999</v>
      </c>
      <c r="T267" s="1">
        <v>128.87999999999997</v>
      </c>
      <c r="U267" s="1">
        <v>123.62</v>
      </c>
      <c r="V267" s="1">
        <v>128.1</v>
      </c>
      <c r="W267" s="1">
        <v>122.9</v>
      </c>
      <c r="X267" s="1">
        <v>120.76000000000002</v>
      </c>
      <c r="Y267" s="1">
        <v>123.4</v>
      </c>
      <c r="Z267" s="1">
        <v>120.96</v>
      </c>
      <c r="AA267" s="1">
        <v>110.88</v>
      </c>
      <c r="AB267" s="1">
        <v>119.47999999999999</v>
      </c>
      <c r="AC267" s="1">
        <v>126.33999999999999</v>
      </c>
      <c r="AD267" s="1">
        <v>114.05999999999999</v>
      </c>
      <c r="AE267" s="1">
        <v>118.08000000000001</v>
      </c>
      <c r="AF267" s="1">
        <v>125.73999999999998</v>
      </c>
      <c r="AG267" s="1">
        <f t="shared" si="29"/>
        <v>1693.62</v>
      </c>
      <c r="AH267" s="1">
        <f t="shared" si="30"/>
        <v>136.19999999999999</v>
      </c>
      <c r="AI267" s="1">
        <f t="shared" si="31"/>
        <v>380.59999999999997</v>
      </c>
      <c r="AJ267" s="1">
        <f t="shared" si="32"/>
        <v>122.9</v>
      </c>
      <c r="AK267" s="1">
        <f t="shared" si="33"/>
        <v>120.76000000000002</v>
      </c>
      <c r="AL267" s="1">
        <f t="shared" si="34"/>
        <v>833.2</v>
      </c>
    </row>
    <row r="268" spans="1:38" x14ac:dyDescent="0.3">
      <c r="A268" t="s">
        <v>31</v>
      </c>
      <c r="B268" s="1">
        <v>2015</v>
      </c>
      <c r="C268" t="s">
        <v>43</v>
      </c>
      <c r="D268" t="str">
        <f t="shared" si="28"/>
        <v>2015-December</v>
      </c>
      <c r="E268" s="1">
        <v>12</v>
      </c>
      <c r="F268" s="1">
        <v>126.08</v>
      </c>
      <c r="G268" s="1">
        <v>133.66</v>
      </c>
      <c r="H268" s="1">
        <v>127.92</v>
      </c>
      <c r="I268" s="1">
        <v>129.9</v>
      </c>
      <c r="J268" s="1">
        <v>115.58</v>
      </c>
      <c r="K268" s="1">
        <v>126.66</v>
      </c>
      <c r="L268" s="1">
        <v>140.66</v>
      </c>
      <c r="M268" s="1">
        <v>170.6</v>
      </c>
      <c r="N268" s="1">
        <v>97</v>
      </c>
      <c r="O268" s="1">
        <v>132.94</v>
      </c>
      <c r="P268" s="1">
        <v>122.85999999999999</v>
      </c>
      <c r="Q268" s="1">
        <v>135.4</v>
      </c>
      <c r="R268" s="1">
        <v>131.11999999999998</v>
      </c>
      <c r="S268" s="1">
        <v>135.44</v>
      </c>
      <c r="T268" s="1">
        <v>130.57999999999998</v>
      </c>
      <c r="U268" s="1">
        <v>125.68000000000002</v>
      </c>
      <c r="V268" s="1">
        <v>129.88</v>
      </c>
      <c r="W268" s="1">
        <v>123.06666666666668</v>
      </c>
      <c r="X268" s="1">
        <v>123.05999999999999</v>
      </c>
      <c r="Y268" s="1">
        <v>124.61999999999998</v>
      </c>
      <c r="Z268" s="1">
        <v>122.1</v>
      </c>
      <c r="AA268" s="1">
        <v>111.8</v>
      </c>
      <c r="AB268" s="1">
        <v>120.32000000000001</v>
      </c>
      <c r="AC268" s="1">
        <v>126.44000000000001</v>
      </c>
      <c r="AD268" s="1">
        <v>114.78</v>
      </c>
      <c r="AE268" s="1">
        <v>118.92</v>
      </c>
      <c r="AF268" s="1">
        <v>126.52000000000001</v>
      </c>
      <c r="AG268" s="1">
        <f t="shared" si="29"/>
        <v>1690.3799999999999</v>
      </c>
      <c r="AH268" s="1">
        <f t="shared" si="30"/>
        <v>135.44</v>
      </c>
      <c r="AI268" s="1">
        <f t="shared" si="31"/>
        <v>386.14</v>
      </c>
      <c r="AJ268" s="1">
        <f t="shared" si="32"/>
        <v>123.06666666666668</v>
      </c>
      <c r="AK268" s="1">
        <f t="shared" si="33"/>
        <v>123.05999999999999</v>
      </c>
      <c r="AL268" s="1">
        <f t="shared" si="34"/>
        <v>838.9799999999999</v>
      </c>
    </row>
    <row r="269" spans="1:38" x14ac:dyDescent="0.3">
      <c r="A269" t="s">
        <v>28</v>
      </c>
      <c r="B269" s="1">
        <v>2015</v>
      </c>
      <c r="C269" t="s">
        <v>42</v>
      </c>
      <c r="D269" t="str">
        <f t="shared" si="28"/>
        <v>2015-November</v>
      </c>
      <c r="E269" s="1">
        <v>11</v>
      </c>
      <c r="F269" s="1">
        <v>125.22</v>
      </c>
      <c r="G269" s="1">
        <v>130.74</v>
      </c>
      <c r="H269" s="1">
        <v>123.04</v>
      </c>
      <c r="I269" s="1">
        <v>129.13999999999999</v>
      </c>
      <c r="J269" s="1">
        <v>114.2</v>
      </c>
      <c r="K269" s="1">
        <v>127.28</v>
      </c>
      <c r="L269" s="1">
        <v>154.54</v>
      </c>
      <c r="M269" s="1">
        <v>175.16</v>
      </c>
      <c r="N269" s="1">
        <v>93.34</v>
      </c>
      <c r="O269" s="1">
        <v>132.82</v>
      </c>
      <c r="P269" s="1">
        <v>121.62</v>
      </c>
      <c r="Q269" s="1">
        <v>134.24</v>
      </c>
      <c r="R269" s="1">
        <v>132.26000000000002</v>
      </c>
      <c r="S269" s="1">
        <v>134.94</v>
      </c>
      <c r="T269" s="1">
        <v>128.86000000000001</v>
      </c>
      <c r="U269" s="1">
        <v>124</v>
      </c>
      <c r="V269" s="1">
        <v>128.13999999999999</v>
      </c>
      <c r="W269" s="1">
        <v>122.73333333333335</v>
      </c>
      <c r="X269" s="1">
        <v>120.8</v>
      </c>
      <c r="Y269" s="1">
        <v>123.4</v>
      </c>
      <c r="Z269" s="1">
        <v>120.66000000000001</v>
      </c>
      <c r="AA269" s="1">
        <v>111.62</v>
      </c>
      <c r="AB269" s="1">
        <v>119.54</v>
      </c>
      <c r="AC269" s="1">
        <v>126.17999999999999</v>
      </c>
      <c r="AD269" s="1">
        <v>113.72</v>
      </c>
      <c r="AE269" s="1">
        <v>118.16</v>
      </c>
      <c r="AF269" s="1">
        <v>126.28</v>
      </c>
      <c r="AG269" s="1">
        <f t="shared" si="29"/>
        <v>1693.6</v>
      </c>
      <c r="AH269" s="1">
        <f t="shared" si="30"/>
        <v>134.94</v>
      </c>
      <c r="AI269" s="1">
        <f t="shared" si="31"/>
        <v>381</v>
      </c>
      <c r="AJ269" s="1">
        <f t="shared" si="32"/>
        <v>122.73333333333335</v>
      </c>
      <c r="AK269" s="1">
        <f t="shared" si="33"/>
        <v>120.8</v>
      </c>
      <c r="AL269" s="1">
        <f t="shared" si="34"/>
        <v>833.28</v>
      </c>
    </row>
    <row r="270" spans="1:38" x14ac:dyDescent="0.3">
      <c r="A270" t="s">
        <v>30</v>
      </c>
      <c r="B270" s="1">
        <v>2015</v>
      </c>
      <c r="C270" t="s">
        <v>42</v>
      </c>
      <c r="D270" t="str">
        <f t="shared" si="28"/>
        <v>2015-November</v>
      </c>
      <c r="E270" s="1">
        <v>11</v>
      </c>
      <c r="F270" s="1">
        <v>125.14</v>
      </c>
      <c r="G270" s="1">
        <v>130.9</v>
      </c>
      <c r="H270" s="1">
        <v>123.66</v>
      </c>
      <c r="I270" s="1">
        <v>129.12</v>
      </c>
      <c r="J270" s="1">
        <v>113.7</v>
      </c>
      <c r="K270" s="1">
        <v>126.18</v>
      </c>
      <c r="L270" s="1">
        <v>152.84</v>
      </c>
      <c r="M270" s="1">
        <v>177.3</v>
      </c>
      <c r="N270" s="1">
        <v>93.34</v>
      </c>
      <c r="O270" s="1">
        <v>133.57999999999998</v>
      </c>
      <c r="P270" s="1">
        <v>121.4</v>
      </c>
      <c r="Q270" s="1">
        <v>134.34</v>
      </c>
      <c r="R270" s="1">
        <v>132.06</v>
      </c>
      <c r="S270" s="1">
        <v>135.4</v>
      </c>
      <c r="T270" s="1">
        <v>128.38000000000002</v>
      </c>
      <c r="U270" s="1">
        <v>123.32000000000001</v>
      </c>
      <c r="V270" s="1">
        <v>127.64000000000001</v>
      </c>
      <c r="W270" s="1">
        <v>122.65</v>
      </c>
      <c r="X270" s="1">
        <v>120.08</v>
      </c>
      <c r="Y270" s="1">
        <v>123</v>
      </c>
      <c r="Z270" s="1">
        <v>120.42</v>
      </c>
      <c r="AA270" s="1">
        <v>111.12</v>
      </c>
      <c r="AB270" s="1">
        <v>119.28000000000002</v>
      </c>
      <c r="AC270" s="1">
        <v>126.26000000000002</v>
      </c>
      <c r="AD270" s="1">
        <v>113.62</v>
      </c>
      <c r="AE270" s="1">
        <v>117.9</v>
      </c>
      <c r="AF270" s="1">
        <v>125.84</v>
      </c>
      <c r="AG270" s="1">
        <f t="shared" si="29"/>
        <v>1693.56</v>
      </c>
      <c r="AH270" s="1">
        <f t="shared" si="30"/>
        <v>135.4</v>
      </c>
      <c r="AI270" s="1">
        <f t="shared" si="31"/>
        <v>379.34000000000003</v>
      </c>
      <c r="AJ270" s="1">
        <f t="shared" si="32"/>
        <v>122.65</v>
      </c>
      <c r="AK270" s="1">
        <f t="shared" si="33"/>
        <v>120.08</v>
      </c>
      <c r="AL270" s="1">
        <f t="shared" si="34"/>
        <v>831.6</v>
      </c>
    </row>
    <row r="271" spans="1:38" x14ac:dyDescent="0.3">
      <c r="A271" t="s">
        <v>31</v>
      </c>
      <c r="B271" s="1">
        <v>2015</v>
      </c>
      <c r="C271" t="s">
        <v>42</v>
      </c>
      <c r="D271" t="str">
        <f t="shared" si="28"/>
        <v>2015-November</v>
      </c>
      <c r="E271" s="1">
        <v>11</v>
      </c>
      <c r="F271" s="1">
        <v>125.7</v>
      </c>
      <c r="G271" s="1">
        <v>131.58000000000001</v>
      </c>
      <c r="H271" s="1">
        <v>124.66</v>
      </c>
      <c r="I271" s="1">
        <v>129.46</v>
      </c>
      <c r="J271" s="1">
        <v>115.48</v>
      </c>
      <c r="K271" s="1">
        <v>127.76</v>
      </c>
      <c r="L271" s="1">
        <v>147.94</v>
      </c>
      <c r="M271" s="1">
        <v>171.74</v>
      </c>
      <c r="N271" s="1">
        <v>94.72</v>
      </c>
      <c r="O271" s="1">
        <v>132.08000000000001</v>
      </c>
      <c r="P271" s="1">
        <v>122.3</v>
      </c>
      <c r="Q271" s="1">
        <v>134.78</v>
      </c>
      <c r="R271" s="1">
        <v>131.68</v>
      </c>
      <c r="S271" s="1">
        <v>134.6</v>
      </c>
      <c r="T271" s="1">
        <v>130.02000000000004</v>
      </c>
      <c r="U271" s="1">
        <v>125.24000000000001</v>
      </c>
      <c r="V271" s="1">
        <v>129.32</v>
      </c>
      <c r="W271" s="1">
        <v>122.56666666666668</v>
      </c>
      <c r="X271" s="1">
        <v>122.3</v>
      </c>
      <c r="Y271" s="1">
        <v>124.12</v>
      </c>
      <c r="Z271" s="1">
        <v>121.54</v>
      </c>
      <c r="AA271" s="1">
        <v>111.97999999999999</v>
      </c>
      <c r="AB271" s="1">
        <v>119.97999999999999</v>
      </c>
      <c r="AC271" s="1">
        <v>126.17999999999999</v>
      </c>
      <c r="AD271" s="1">
        <v>113.93999999999998</v>
      </c>
      <c r="AE271" s="1">
        <v>118.6</v>
      </c>
      <c r="AF271" s="1">
        <v>126.54</v>
      </c>
      <c r="AG271" s="1">
        <f t="shared" si="29"/>
        <v>1689.88</v>
      </c>
      <c r="AH271" s="1">
        <f t="shared" si="30"/>
        <v>134.6</v>
      </c>
      <c r="AI271" s="1">
        <f t="shared" si="31"/>
        <v>384.58000000000004</v>
      </c>
      <c r="AJ271" s="1">
        <f t="shared" si="32"/>
        <v>122.56666666666668</v>
      </c>
      <c r="AK271" s="1">
        <f t="shared" si="33"/>
        <v>122.3</v>
      </c>
      <c r="AL271" s="1">
        <f t="shared" si="34"/>
        <v>836.33999999999992</v>
      </c>
    </row>
    <row r="272" spans="1:38" x14ac:dyDescent="0.3">
      <c r="A272" t="s">
        <v>28</v>
      </c>
      <c r="B272" s="1">
        <v>2015</v>
      </c>
      <c r="C272" t="s">
        <v>40</v>
      </c>
      <c r="D272" t="str">
        <f t="shared" si="28"/>
        <v>2015-October</v>
      </c>
      <c r="E272" s="1">
        <v>10</v>
      </c>
      <c r="F272" s="1">
        <v>124.86</v>
      </c>
      <c r="G272" s="1">
        <v>129.84</v>
      </c>
      <c r="H272" s="1">
        <v>119.76</v>
      </c>
      <c r="I272" s="1">
        <v>129.02000000000001</v>
      </c>
      <c r="J272" s="1">
        <v>113.18</v>
      </c>
      <c r="K272" s="1">
        <v>128.41999999999999</v>
      </c>
      <c r="L272" s="1">
        <v>160.74</v>
      </c>
      <c r="M272" s="1">
        <v>171.82</v>
      </c>
      <c r="N272" s="1">
        <v>92.14</v>
      </c>
      <c r="O272" s="1">
        <v>131.5</v>
      </c>
      <c r="P272" s="1">
        <v>121.13999999999999</v>
      </c>
      <c r="Q272" s="1">
        <v>133.38000000000002</v>
      </c>
      <c r="R272" s="1">
        <v>132.44</v>
      </c>
      <c r="S272" s="1">
        <v>133.82</v>
      </c>
      <c r="T272" s="1">
        <v>128.22</v>
      </c>
      <c r="U272" s="1">
        <v>123.47999999999999</v>
      </c>
      <c r="V272" s="1">
        <v>127.54</v>
      </c>
      <c r="W272" s="1">
        <v>122.56666666666668</v>
      </c>
      <c r="X272" s="1">
        <v>120.16000000000001</v>
      </c>
      <c r="Y272" s="1">
        <v>123.08</v>
      </c>
      <c r="Z272" s="1">
        <v>120.16000000000001</v>
      </c>
      <c r="AA272" s="1">
        <v>111.55999999999999</v>
      </c>
      <c r="AB272" s="1">
        <v>119.05999999999999</v>
      </c>
      <c r="AC272" s="1">
        <v>125.97999999999999</v>
      </c>
      <c r="AD272" s="1">
        <v>113.82000000000001</v>
      </c>
      <c r="AE272" s="1">
        <v>117.96000000000001</v>
      </c>
      <c r="AF272" s="1">
        <v>126.17999999999999</v>
      </c>
      <c r="AG272" s="1">
        <f t="shared" si="29"/>
        <v>1688.2400000000002</v>
      </c>
      <c r="AH272" s="1">
        <f t="shared" si="30"/>
        <v>133.82</v>
      </c>
      <c r="AI272" s="1">
        <f t="shared" si="31"/>
        <v>379.24</v>
      </c>
      <c r="AJ272" s="1">
        <f t="shared" si="32"/>
        <v>122.56666666666668</v>
      </c>
      <c r="AK272" s="1">
        <f t="shared" si="33"/>
        <v>120.16000000000001</v>
      </c>
      <c r="AL272" s="1">
        <f t="shared" si="34"/>
        <v>831.62000000000012</v>
      </c>
    </row>
    <row r="273" spans="1:38" x14ac:dyDescent="0.3">
      <c r="A273" t="s">
        <v>30</v>
      </c>
      <c r="B273" s="1">
        <v>2015</v>
      </c>
      <c r="C273" t="s">
        <v>40</v>
      </c>
      <c r="D273" t="str">
        <f t="shared" si="28"/>
        <v>2015-October</v>
      </c>
      <c r="E273" s="1">
        <v>10</v>
      </c>
      <c r="F273" s="1">
        <v>124.82</v>
      </c>
      <c r="G273" s="1">
        <v>129.82</v>
      </c>
      <c r="H273" s="1">
        <v>119.92</v>
      </c>
      <c r="I273" s="1">
        <v>128.97999999999999</v>
      </c>
      <c r="J273" s="1">
        <v>113</v>
      </c>
      <c r="K273" s="1">
        <v>127.42</v>
      </c>
      <c r="L273" s="1">
        <v>160.88</v>
      </c>
      <c r="M273" s="1">
        <v>175.22</v>
      </c>
      <c r="N273" s="1">
        <v>92.06</v>
      </c>
      <c r="O273" s="1">
        <v>132.41999999999999</v>
      </c>
      <c r="P273" s="1">
        <v>121.02000000000001</v>
      </c>
      <c r="Q273" s="1">
        <v>133.56</v>
      </c>
      <c r="R273" s="1">
        <v>132.62000000000003</v>
      </c>
      <c r="S273" s="1">
        <v>134.24</v>
      </c>
      <c r="T273" s="1">
        <v>127.85999999999999</v>
      </c>
      <c r="U273" s="1">
        <v>122.91999999999999</v>
      </c>
      <c r="V273" s="1">
        <v>127.13999999999999</v>
      </c>
      <c r="W273" s="1">
        <v>122.65</v>
      </c>
      <c r="X273" s="1">
        <v>119.6</v>
      </c>
      <c r="Y273" s="1">
        <v>122.73999999999998</v>
      </c>
      <c r="Z273" s="1">
        <v>119.94000000000001</v>
      </c>
      <c r="AA273" s="1">
        <v>111.1</v>
      </c>
      <c r="AB273" s="1">
        <v>118.88000000000002</v>
      </c>
      <c r="AC273" s="1">
        <v>126.21999999999998</v>
      </c>
      <c r="AD273" s="1">
        <v>113.74000000000001</v>
      </c>
      <c r="AE273" s="1">
        <v>117.74000000000001</v>
      </c>
      <c r="AF273" s="1">
        <v>125.96000000000001</v>
      </c>
      <c r="AG273" s="1">
        <f t="shared" si="29"/>
        <v>1691.74</v>
      </c>
      <c r="AH273" s="1">
        <f t="shared" si="30"/>
        <v>134.24</v>
      </c>
      <c r="AI273" s="1">
        <f t="shared" si="31"/>
        <v>377.91999999999996</v>
      </c>
      <c r="AJ273" s="1">
        <f t="shared" si="32"/>
        <v>122.65</v>
      </c>
      <c r="AK273" s="1">
        <f t="shared" si="33"/>
        <v>119.6</v>
      </c>
      <c r="AL273" s="1">
        <f t="shared" si="34"/>
        <v>830.36</v>
      </c>
    </row>
    <row r="274" spans="1:38" x14ac:dyDescent="0.3">
      <c r="A274" t="s">
        <v>31</v>
      </c>
      <c r="B274" s="1">
        <v>2015</v>
      </c>
      <c r="C274" t="s">
        <v>40</v>
      </c>
      <c r="D274" t="str">
        <f t="shared" si="28"/>
        <v>2015-October</v>
      </c>
      <c r="E274" s="1">
        <v>10</v>
      </c>
      <c r="F274" s="1">
        <v>125.36</v>
      </c>
      <c r="G274" s="1">
        <v>130.36000000000001</v>
      </c>
      <c r="H274" s="1">
        <v>121.4</v>
      </c>
      <c r="I274" s="1">
        <v>129.24</v>
      </c>
      <c r="J274" s="1">
        <v>114.86</v>
      </c>
      <c r="K274" s="1">
        <v>128.91999999999999</v>
      </c>
      <c r="L274" s="1">
        <v>156.82</v>
      </c>
      <c r="M274" s="1">
        <v>170.2</v>
      </c>
      <c r="N274" s="1">
        <v>93.26</v>
      </c>
      <c r="O274" s="1">
        <v>131.04</v>
      </c>
      <c r="P274" s="1">
        <v>121.8</v>
      </c>
      <c r="Q274" s="1">
        <v>134</v>
      </c>
      <c r="R274" s="1">
        <v>132.38</v>
      </c>
      <c r="S274" s="1">
        <v>133.80000000000001</v>
      </c>
      <c r="T274" s="1">
        <v>129.48000000000002</v>
      </c>
      <c r="U274" s="1">
        <v>124.85999999999999</v>
      </c>
      <c r="V274" s="1">
        <v>128.80000000000001</v>
      </c>
      <c r="W274" s="1">
        <v>122.73333333333335</v>
      </c>
      <c r="X274" s="1">
        <v>121.76000000000002</v>
      </c>
      <c r="Y274" s="1">
        <v>123.8</v>
      </c>
      <c r="Z274" s="1">
        <v>121.02000000000001</v>
      </c>
      <c r="AA274" s="1">
        <v>112.04</v>
      </c>
      <c r="AB274" s="1">
        <v>119.66</v>
      </c>
      <c r="AC274" s="1">
        <v>126.03999999999999</v>
      </c>
      <c r="AD274" s="1">
        <v>113.86000000000001</v>
      </c>
      <c r="AE274" s="1">
        <v>118.4</v>
      </c>
      <c r="AF274" s="1">
        <v>126.7</v>
      </c>
      <c r="AG274" s="1">
        <f t="shared" si="29"/>
        <v>1689.6399999999999</v>
      </c>
      <c r="AH274" s="1">
        <f t="shared" si="30"/>
        <v>133.80000000000001</v>
      </c>
      <c r="AI274" s="1">
        <f t="shared" si="31"/>
        <v>383.14</v>
      </c>
      <c r="AJ274" s="1">
        <f t="shared" si="32"/>
        <v>122.73333333333335</v>
      </c>
      <c r="AK274" s="1">
        <f t="shared" si="33"/>
        <v>121.76000000000002</v>
      </c>
      <c r="AL274" s="1">
        <f t="shared" si="34"/>
        <v>834.81999999999994</v>
      </c>
    </row>
    <row r="275" spans="1:38" x14ac:dyDescent="0.3">
      <c r="A275" t="s">
        <v>28</v>
      </c>
      <c r="B275" s="1">
        <v>2015</v>
      </c>
      <c r="C275" t="s">
        <v>39</v>
      </c>
      <c r="D275" t="str">
        <f t="shared" si="28"/>
        <v>2015-September</v>
      </c>
      <c r="E275" s="1">
        <v>9</v>
      </c>
      <c r="F275" s="1">
        <v>124.46</v>
      </c>
      <c r="G275" s="1">
        <v>129.9</v>
      </c>
      <c r="H275" s="1">
        <v>118.34</v>
      </c>
      <c r="I275" s="1">
        <v>128.86000000000001</v>
      </c>
      <c r="J275" s="1">
        <v>111.68</v>
      </c>
      <c r="K275" s="1">
        <v>128.4</v>
      </c>
      <c r="L275" s="1">
        <v>162.62</v>
      </c>
      <c r="M275" s="1">
        <v>159.78</v>
      </c>
      <c r="N275" s="1">
        <v>90.46</v>
      </c>
      <c r="O275" s="1">
        <v>130.12000000000003</v>
      </c>
      <c r="P275" s="1">
        <v>120.67999999999999</v>
      </c>
      <c r="Q275" s="1">
        <v>132.69999999999999</v>
      </c>
      <c r="R275" s="1">
        <v>131.62</v>
      </c>
      <c r="S275" s="1">
        <v>132.9</v>
      </c>
      <c r="T275" s="1">
        <v>127.55999999999999</v>
      </c>
      <c r="U275" s="1">
        <v>122.97999999999999</v>
      </c>
      <c r="V275" s="1">
        <v>126.9</v>
      </c>
      <c r="W275" s="1">
        <v>121.86666666666667</v>
      </c>
      <c r="X275" s="1">
        <v>119.7</v>
      </c>
      <c r="Y275" s="1">
        <v>122.66000000000001</v>
      </c>
      <c r="Z275" s="1">
        <v>119.6</v>
      </c>
      <c r="AA275" s="1">
        <v>111.46</v>
      </c>
      <c r="AB275" s="1">
        <v>118.6</v>
      </c>
      <c r="AC275" s="1">
        <v>125.66</v>
      </c>
      <c r="AD275" s="1">
        <v>113.54</v>
      </c>
      <c r="AE275" s="1">
        <v>117.64000000000001</v>
      </c>
      <c r="AF275" s="1">
        <v>125.55999999999999</v>
      </c>
      <c r="AG275" s="1">
        <f t="shared" si="29"/>
        <v>1669.6200000000003</v>
      </c>
      <c r="AH275" s="1">
        <f t="shared" si="30"/>
        <v>132.9</v>
      </c>
      <c r="AI275" s="1">
        <f t="shared" si="31"/>
        <v>377.43999999999994</v>
      </c>
      <c r="AJ275" s="1">
        <f t="shared" si="32"/>
        <v>121.86666666666667</v>
      </c>
      <c r="AK275" s="1">
        <f t="shared" si="33"/>
        <v>119.7</v>
      </c>
      <c r="AL275" s="1">
        <f t="shared" si="34"/>
        <v>829.15999999999985</v>
      </c>
    </row>
    <row r="276" spans="1:38" x14ac:dyDescent="0.3">
      <c r="A276" t="s">
        <v>30</v>
      </c>
      <c r="B276" s="1">
        <v>2015</v>
      </c>
      <c r="C276" t="s">
        <v>39</v>
      </c>
      <c r="D276" t="str">
        <f t="shared" si="28"/>
        <v>2015-September</v>
      </c>
      <c r="E276" s="1">
        <v>9</v>
      </c>
      <c r="F276" s="1">
        <v>124.44</v>
      </c>
      <c r="G276" s="1">
        <v>129.63999999999999</v>
      </c>
      <c r="H276" s="1">
        <v>117.98</v>
      </c>
      <c r="I276" s="1">
        <v>128.84</v>
      </c>
      <c r="J276" s="1">
        <v>111.4</v>
      </c>
      <c r="K276" s="1">
        <v>127.74</v>
      </c>
      <c r="L276" s="1">
        <v>162.91999999999999</v>
      </c>
      <c r="M276" s="1">
        <v>164.42</v>
      </c>
      <c r="N276" s="1">
        <v>90.42</v>
      </c>
      <c r="O276" s="1">
        <v>130.98000000000002</v>
      </c>
      <c r="P276" s="1">
        <v>120.52000000000001</v>
      </c>
      <c r="Q276" s="1">
        <v>132.76</v>
      </c>
      <c r="R276" s="1">
        <v>131.84</v>
      </c>
      <c r="S276" s="1">
        <v>133.19999999999999</v>
      </c>
      <c r="T276" s="1">
        <v>127.17999999999999</v>
      </c>
      <c r="U276" s="1">
        <v>122.38</v>
      </c>
      <c r="V276" s="1">
        <v>126.47999999999999</v>
      </c>
      <c r="W276" s="1">
        <v>122</v>
      </c>
      <c r="X276" s="1">
        <v>119.11999999999998</v>
      </c>
      <c r="Y276" s="1">
        <v>122.35999999999999</v>
      </c>
      <c r="Z276" s="1">
        <v>119.4</v>
      </c>
      <c r="AA276" s="1">
        <v>110.97999999999999</v>
      </c>
      <c r="AB276" s="1">
        <v>118.42</v>
      </c>
      <c r="AC276" s="1">
        <v>125.93999999999998</v>
      </c>
      <c r="AD276" s="1">
        <v>113.58</v>
      </c>
      <c r="AE276" s="1">
        <v>117.46</v>
      </c>
      <c r="AF276" s="1">
        <v>125.38</v>
      </c>
      <c r="AG276" s="1">
        <f t="shared" si="29"/>
        <v>1673.8999999999999</v>
      </c>
      <c r="AH276" s="1">
        <f t="shared" si="30"/>
        <v>133.19999999999999</v>
      </c>
      <c r="AI276" s="1">
        <f t="shared" si="31"/>
        <v>376.03999999999996</v>
      </c>
      <c r="AJ276" s="1">
        <f t="shared" si="32"/>
        <v>122</v>
      </c>
      <c r="AK276" s="1">
        <f t="shared" si="33"/>
        <v>119.11999999999998</v>
      </c>
      <c r="AL276" s="1">
        <f t="shared" si="34"/>
        <v>828.1400000000001</v>
      </c>
    </row>
    <row r="277" spans="1:38" x14ac:dyDescent="0.3">
      <c r="A277" t="s">
        <v>31</v>
      </c>
      <c r="B277" s="1">
        <v>2015</v>
      </c>
      <c r="C277" t="s">
        <v>39</v>
      </c>
      <c r="D277" t="str">
        <f t="shared" si="28"/>
        <v>2015-September</v>
      </c>
      <c r="E277" s="1">
        <v>9</v>
      </c>
      <c r="F277" s="1">
        <v>124.98</v>
      </c>
      <c r="G277" s="1">
        <v>129.96</v>
      </c>
      <c r="H277" s="1">
        <v>119.2</v>
      </c>
      <c r="I277" s="1">
        <v>129.08000000000001</v>
      </c>
      <c r="J277" s="1">
        <v>113.56</v>
      </c>
      <c r="K277" s="1">
        <v>129.36000000000001</v>
      </c>
      <c r="L277" s="1">
        <v>160.26</v>
      </c>
      <c r="M277" s="1">
        <v>163.5</v>
      </c>
      <c r="N277" s="1">
        <v>92.06</v>
      </c>
      <c r="O277" s="1">
        <v>129.76</v>
      </c>
      <c r="P277" s="1">
        <v>121.32000000000001</v>
      </c>
      <c r="Q277" s="1">
        <v>133.14000000000001</v>
      </c>
      <c r="R277" s="1">
        <v>132.02000000000001</v>
      </c>
      <c r="S277" s="1">
        <v>132.69999999999999</v>
      </c>
      <c r="T277" s="1">
        <v>128.80000000000001</v>
      </c>
      <c r="U277" s="1">
        <v>124.3</v>
      </c>
      <c r="V277" s="1">
        <v>128.14000000000001</v>
      </c>
      <c r="W277" s="1">
        <v>122.13333333333333</v>
      </c>
      <c r="X277" s="1">
        <v>121.22</v>
      </c>
      <c r="Y277" s="1">
        <v>123.4</v>
      </c>
      <c r="Z277" s="1">
        <v>120.5</v>
      </c>
      <c r="AA277" s="1">
        <v>111.96</v>
      </c>
      <c r="AB277" s="1">
        <v>119.13999999999999</v>
      </c>
      <c r="AC277" s="1">
        <v>125.8</v>
      </c>
      <c r="AD277" s="1">
        <v>113.84</v>
      </c>
      <c r="AE277" s="1">
        <v>118.14000000000001</v>
      </c>
      <c r="AF277" s="1">
        <v>126.34</v>
      </c>
      <c r="AG277" s="1">
        <f t="shared" si="29"/>
        <v>1678.2</v>
      </c>
      <c r="AH277" s="1">
        <f t="shared" si="30"/>
        <v>132.69999999999999</v>
      </c>
      <c r="AI277" s="1">
        <f t="shared" si="31"/>
        <v>381.24</v>
      </c>
      <c r="AJ277" s="1">
        <f t="shared" si="32"/>
        <v>122.13333333333333</v>
      </c>
      <c r="AK277" s="1">
        <f t="shared" si="33"/>
        <v>121.22</v>
      </c>
      <c r="AL277" s="1">
        <f t="shared" si="34"/>
        <v>832.78</v>
      </c>
    </row>
    <row r="278" spans="1:38" x14ac:dyDescent="0.3">
      <c r="A278" t="s">
        <v>28</v>
      </c>
      <c r="B278" s="1">
        <v>2015</v>
      </c>
      <c r="C278" t="s">
        <v>38</v>
      </c>
      <c r="D278" t="str">
        <f t="shared" si="28"/>
        <v>2015-August</v>
      </c>
      <c r="E278" s="1">
        <v>8</v>
      </c>
      <c r="F278" s="1">
        <v>124.1</v>
      </c>
      <c r="G278" s="1">
        <v>130.9</v>
      </c>
      <c r="H278" s="1">
        <v>119.16</v>
      </c>
      <c r="I278" s="1">
        <v>128.56</v>
      </c>
      <c r="J278" s="1">
        <v>110.78</v>
      </c>
      <c r="K278" s="1">
        <v>130.58000000000001</v>
      </c>
      <c r="L278" s="1">
        <v>160.82</v>
      </c>
      <c r="M278" s="1">
        <v>149.08000000000001</v>
      </c>
      <c r="N278" s="1">
        <v>89.54</v>
      </c>
      <c r="O278" s="1">
        <v>128.64000000000001</v>
      </c>
      <c r="P278" s="1">
        <v>120.34</v>
      </c>
      <c r="Q278" s="1">
        <v>132.26</v>
      </c>
      <c r="R278" s="1">
        <v>130.74</v>
      </c>
      <c r="S278" s="1">
        <v>132.24</v>
      </c>
      <c r="T278" s="1">
        <v>126.96</v>
      </c>
      <c r="U278" s="1">
        <v>122.55999999999999</v>
      </c>
      <c r="V278" s="1">
        <v>126.32000000000001</v>
      </c>
      <c r="W278" s="1">
        <v>121.13333333333333</v>
      </c>
      <c r="X278" s="1">
        <v>119.7</v>
      </c>
      <c r="Y278" s="1">
        <v>122.12</v>
      </c>
      <c r="Z278" s="1">
        <v>119.12</v>
      </c>
      <c r="AA278" s="1">
        <v>111.62</v>
      </c>
      <c r="AB278" s="1">
        <v>118.08</v>
      </c>
      <c r="AC278" s="1">
        <v>125.17999999999999</v>
      </c>
      <c r="AD278" s="1">
        <v>112.67999999999999</v>
      </c>
      <c r="AE278" s="1">
        <v>117.32000000000001</v>
      </c>
      <c r="AF278" s="1">
        <v>124.92</v>
      </c>
      <c r="AG278" s="1">
        <f t="shared" si="29"/>
        <v>1655.5</v>
      </c>
      <c r="AH278" s="1">
        <f t="shared" si="30"/>
        <v>132.24</v>
      </c>
      <c r="AI278" s="1">
        <f t="shared" si="31"/>
        <v>375.84</v>
      </c>
      <c r="AJ278" s="1">
        <f t="shared" si="32"/>
        <v>121.13333333333333</v>
      </c>
      <c r="AK278" s="1">
        <f t="shared" si="33"/>
        <v>119.7</v>
      </c>
      <c r="AL278" s="1">
        <f t="shared" si="34"/>
        <v>826.12</v>
      </c>
    </row>
    <row r="279" spans="1:38" x14ac:dyDescent="0.3">
      <c r="A279" t="s">
        <v>30</v>
      </c>
      <c r="B279" s="1">
        <v>2015</v>
      </c>
      <c r="C279" t="s">
        <v>38</v>
      </c>
      <c r="D279" t="str">
        <f t="shared" si="28"/>
        <v>2015-August</v>
      </c>
      <c r="E279" s="1">
        <v>8</v>
      </c>
      <c r="F279" s="1">
        <v>124.08</v>
      </c>
      <c r="G279" s="1">
        <v>130.72</v>
      </c>
      <c r="H279" s="1">
        <v>118.64</v>
      </c>
      <c r="I279" s="1">
        <v>128.58000000000001</v>
      </c>
      <c r="J279" s="1">
        <v>110.36</v>
      </c>
      <c r="K279" s="1">
        <v>129.41999999999999</v>
      </c>
      <c r="L279" s="1">
        <v>162.54</v>
      </c>
      <c r="M279" s="1">
        <v>151.5</v>
      </c>
      <c r="N279" s="1">
        <v>89</v>
      </c>
      <c r="O279" s="1">
        <v>129.54</v>
      </c>
      <c r="P279" s="1">
        <v>120.18000000000002</v>
      </c>
      <c r="Q279" s="1">
        <v>132.26</v>
      </c>
      <c r="R279" s="1">
        <v>131.01999999999998</v>
      </c>
      <c r="S279" s="1">
        <v>132.61999999999998</v>
      </c>
      <c r="T279" s="1">
        <v>126.64000000000001</v>
      </c>
      <c r="U279" s="1">
        <v>121.97999999999999</v>
      </c>
      <c r="V279" s="1">
        <v>125.96</v>
      </c>
      <c r="W279" s="1">
        <v>121.25</v>
      </c>
      <c r="X279" s="1">
        <v>119.01999999999998</v>
      </c>
      <c r="Y279" s="1">
        <v>121.9</v>
      </c>
      <c r="Z279" s="1">
        <v>118.85999999999999</v>
      </c>
      <c r="AA279" s="1">
        <v>111.16</v>
      </c>
      <c r="AB279" s="1">
        <v>118.04</v>
      </c>
      <c r="AC279" s="1">
        <v>125.6</v>
      </c>
      <c r="AD279" s="1">
        <v>112.85999999999999</v>
      </c>
      <c r="AE279" s="1">
        <v>117.17999999999999</v>
      </c>
      <c r="AF279" s="1">
        <v>124.78</v>
      </c>
      <c r="AG279" s="1">
        <f t="shared" si="29"/>
        <v>1657.84</v>
      </c>
      <c r="AH279" s="1">
        <f t="shared" si="30"/>
        <v>132.61999999999998</v>
      </c>
      <c r="AI279" s="1">
        <f t="shared" si="31"/>
        <v>374.58</v>
      </c>
      <c r="AJ279" s="1">
        <f t="shared" si="32"/>
        <v>121.25</v>
      </c>
      <c r="AK279" s="1">
        <f t="shared" si="33"/>
        <v>119.01999999999998</v>
      </c>
      <c r="AL279" s="1">
        <f t="shared" si="34"/>
        <v>825.59999999999991</v>
      </c>
    </row>
    <row r="280" spans="1:38" x14ac:dyDescent="0.3">
      <c r="A280" t="s">
        <v>31</v>
      </c>
      <c r="B280" s="1">
        <v>2015</v>
      </c>
      <c r="C280" t="s">
        <v>38</v>
      </c>
      <c r="D280" t="str">
        <f t="shared" si="28"/>
        <v>2015-August</v>
      </c>
      <c r="E280" s="1">
        <v>8</v>
      </c>
      <c r="F280" s="1">
        <v>124.58</v>
      </c>
      <c r="G280" s="1">
        <v>130.46</v>
      </c>
      <c r="H280" s="1">
        <v>119.18</v>
      </c>
      <c r="I280" s="1">
        <v>128.86000000000001</v>
      </c>
      <c r="J280" s="1">
        <v>112.16</v>
      </c>
      <c r="K280" s="1">
        <v>130.04</v>
      </c>
      <c r="L280" s="1">
        <v>160.97999999999999</v>
      </c>
      <c r="M280" s="1">
        <v>151.13999999999999</v>
      </c>
      <c r="N280" s="1">
        <v>90.68</v>
      </c>
      <c r="O280" s="1">
        <v>128.32</v>
      </c>
      <c r="P280" s="1">
        <v>120.88</v>
      </c>
      <c r="Q280" s="1">
        <v>132.54</v>
      </c>
      <c r="R280" s="1">
        <v>131.16</v>
      </c>
      <c r="S280" s="1">
        <v>132.07999999999998</v>
      </c>
      <c r="T280" s="1">
        <v>128.12</v>
      </c>
      <c r="U280" s="1">
        <v>123.79999999999998</v>
      </c>
      <c r="V280" s="1">
        <v>127.5</v>
      </c>
      <c r="W280" s="1">
        <v>121.36666666666667</v>
      </c>
      <c r="X280" s="1">
        <v>120.83999999999999</v>
      </c>
      <c r="Y280" s="1">
        <v>122.92</v>
      </c>
      <c r="Z280" s="1">
        <v>119.94000000000001</v>
      </c>
      <c r="AA280" s="1">
        <v>111.94000000000001</v>
      </c>
      <c r="AB280" s="1">
        <v>118.62</v>
      </c>
      <c r="AC280" s="1">
        <v>125.38</v>
      </c>
      <c r="AD280" s="1">
        <v>113.3</v>
      </c>
      <c r="AE280" s="1">
        <v>117.78</v>
      </c>
      <c r="AF280" s="1">
        <v>125.68000000000002</v>
      </c>
      <c r="AG280" s="1">
        <f t="shared" si="29"/>
        <v>1660.9800000000002</v>
      </c>
      <c r="AH280" s="1">
        <f t="shared" si="30"/>
        <v>132.07999999999998</v>
      </c>
      <c r="AI280" s="1">
        <f t="shared" si="31"/>
        <v>379.41999999999996</v>
      </c>
      <c r="AJ280" s="1">
        <f t="shared" si="32"/>
        <v>121.36666666666667</v>
      </c>
      <c r="AK280" s="1">
        <f t="shared" si="33"/>
        <v>120.83999999999999</v>
      </c>
      <c r="AL280" s="1">
        <f t="shared" si="34"/>
        <v>829.87999999999988</v>
      </c>
    </row>
    <row r="281" spans="1:38" x14ac:dyDescent="0.3">
      <c r="A281" t="s">
        <v>28</v>
      </c>
      <c r="B281" s="1">
        <v>2015</v>
      </c>
      <c r="C281" t="s">
        <v>37</v>
      </c>
      <c r="D281" t="str">
        <f t="shared" si="28"/>
        <v>2015-July</v>
      </c>
      <c r="E281" s="1">
        <v>7</v>
      </c>
      <c r="F281" s="1">
        <v>123.74</v>
      </c>
      <c r="G281" s="1">
        <v>132.26</v>
      </c>
      <c r="H281" s="1">
        <v>120.38</v>
      </c>
      <c r="I281" s="1">
        <v>128.30000000000001</v>
      </c>
      <c r="J281" s="1">
        <v>110.3</v>
      </c>
      <c r="K281" s="1">
        <v>132.69999999999999</v>
      </c>
      <c r="L281" s="1">
        <v>151.69999999999999</v>
      </c>
      <c r="M281" s="1">
        <v>143.26</v>
      </c>
      <c r="N281" s="1">
        <v>89.9</v>
      </c>
      <c r="O281" s="1">
        <v>127.51999999999998</v>
      </c>
      <c r="P281" s="1">
        <v>119.9</v>
      </c>
      <c r="Q281" s="1">
        <v>131.67999999999998</v>
      </c>
      <c r="R281" s="1">
        <v>129.22</v>
      </c>
      <c r="S281" s="1">
        <v>131.44</v>
      </c>
      <c r="T281" s="1">
        <v>126.44000000000001</v>
      </c>
      <c r="U281" s="1">
        <v>122.04</v>
      </c>
      <c r="V281" s="1">
        <v>125.8</v>
      </c>
      <c r="W281" s="1">
        <v>120.23333333333335</v>
      </c>
      <c r="X281" s="1">
        <v>119.5</v>
      </c>
      <c r="Y281" s="1">
        <v>121.5</v>
      </c>
      <c r="Z281" s="1">
        <v>118.7</v>
      </c>
      <c r="AA281" s="1">
        <v>112.35999999999999</v>
      </c>
      <c r="AB281" s="1">
        <v>117.5</v>
      </c>
      <c r="AC281" s="1">
        <v>124.50000000000003</v>
      </c>
      <c r="AD281" s="1">
        <v>112.24000000000001</v>
      </c>
      <c r="AE281" s="1">
        <v>117.2</v>
      </c>
      <c r="AF281" s="1">
        <v>124.00000000000003</v>
      </c>
      <c r="AG281" s="1">
        <f t="shared" si="29"/>
        <v>1640.8600000000004</v>
      </c>
      <c r="AH281" s="1">
        <f t="shared" si="30"/>
        <v>131.44</v>
      </c>
      <c r="AI281" s="1">
        <f t="shared" si="31"/>
        <v>374.28000000000003</v>
      </c>
      <c r="AJ281" s="1">
        <f t="shared" si="32"/>
        <v>120.23333333333335</v>
      </c>
      <c r="AK281" s="1">
        <f t="shared" si="33"/>
        <v>119.5</v>
      </c>
      <c r="AL281" s="1">
        <f t="shared" si="34"/>
        <v>824</v>
      </c>
    </row>
    <row r="282" spans="1:38" x14ac:dyDescent="0.3">
      <c r="A282" t="s">
        <v>30</v>
      </c>
      <c r="B282" s="1">
        <v>2015</v>
      </c>
      <c r="C282" t="s">
        <v>37</v>
      </c>
      <c r="D282" t="str">
        <f t="shared" si="28"/>
        <v>2015-July</v>
      </c>
      <c r="E282" s="1">
        <v>7</v>
      </c>
      <c r="F282" s="1">
        <v>123.78</v>
      </c>
      <c r="G282" s="1">
        <v>132.24</v>
      </c>
      <c r="H282" s="1">
        <v>120</v>
      </c>
      <c r="I282" s="1">
        <v>128.26</v>
      </c>
      <c r="J282" s="1">
        <v>109.88</v>
      </c>
      <c r="K282" s="1">
        <v>132.5</v>
      </c>
      <c r="L282" s="1">
        <v>155.06</v>
      </c>
      <c r="M282" s="1">
        <v>145.30000000000001</v>
      </c>
      <c r="N282" s="1">
        <v>89.18</v>
      </c>
      <c r="O282" s="1">
        <v>128.19999999999999</v>
      </c>
      <c r="P282" s="1">
        <v>119.78</v>
      </c>
      <c r="Q282" s="1">
        <v>131.76000000000002</v>
      </c>
      <c r="R282" s="1">
        <v>129.78000000000003</v>
      </c>
      <c r="S282" s="1">
        <v>131.80000000000001</v>
      </c>
      <c r="T282" s="1">
        <v>126.12</v>
      </c>
      <c r="U282" s="1">
        <v>121.52000000000001</v>
      </c>
      <c r="V282" s="1">
        <v>125.46000000000001</v>
      </c>
      <c r="W282" s="1">
        <v>120.4</v>
      </c>
      <c r="X282" s="1">
        <v>119.02000000000001</v>
      </c>
      <c r="Y282" s="1">
        <v>121.3</v>
      </c>
      <c r="Z282" s="1">
        <v>118.42</v>
      </c>
      <c r="AA282" s="1">
        <v>111.88</v>
      </c>
      <c r="AB282" s="1">
        <v>117.46</v>
      </c>
      <c r="AC282" s="1">
        <v>124.93999999999998</v>
      </c>
      <c r="AD282" s="1">
        <v>112.16</v>
      </c>
      <c r="AE282" s="1">
        <v>117.02000000000001</v>
      </c>
      <c r="AF282" s="1">
        <v>124.02000000000001</v>
      </c>
      <c r="AG282" s="1">
        <f t="shared" si="29"/>
        <v>1645.72</v>
      </c>
      <c r="AH282" s="1">
        <f t="shared" si="30"/>
        <v>131.80000000000001</v>
      </c>
      <c r="AI282" s="1">
        <f t="shared" si="31"/>
        <v>373.1</v>
      </c>
      <c r="AJ282" s="1">
        <f t="shared" si="32"/>
        <v>120.4</v>
      </c>
      <c r="AK282" s="1">
        <f t="shared" si="33"/>
        <v>119.02000000000001</v>
      </c>
      <c r="AL282" s="1">
        <f t="shared" si="34"/>
        <v>823.18</v>
      </c>
    </row>
    <row r="283" spans="1:38" x14ac:dyDescent="0.3">
      <c r="A283" t="s">
        <v>31</v>
      </c>
      <c r="B283" s="1">
        <v>2015</v>
      </c>
      <c r="C283" t="s">
        <v>37</v>
      </c>
      <c r="D283" t="str">
        <f t="shared" si="28"/>
        <v>2015-July</v>
      </c>
      <c r="E283" s="1">
        <v>7</v>
      </c>
      <c r="F283" s="1">
        <v>124.16</v>
      </c>
      <c r="G283" s="1">
        <v>131.6</v>
      </c>
      <c r="H283" s="1">
        <v>120.24</v>
      </c>
      <c r="I283" s="1">
        <v>128.56</v>
      </c>
      <c r="J283" s="1">
        <v>111.56</v>
      </c>
      <c r="K283" s="1">
        <v>132.4</v>
      </c>
      <c r="L283" s="1">
        <v>156.13999999999999</v>
      </c>
      <c r="M283" s="1">
        <v>143.82</v>
      </c>
      <c r="N283" s="1">
        <v>90.54</v>
      </c>
      <c r="O283" s="1">
        <v>126.97999999999999</v>
      </c>
      <c r="P283" s="1">
        <v>120.5</v>
      </c>
      <c r="Q283" s="1">
        <v>132.07999999999998</v>
      </c>
      <c r="R283" s="1">
        <v>130.08000000000001</v>
      </c>
      <c r="S283" s="1">
        <v>131.38</v>
      </c>
      <c r="T283" s="1">
        <v>127.5</v>
      </c>
      <c r="U283" s="1">
        <v>123.3</v>
      </c>
      <c r="V283" s="1">
        <v>126.9</v>
      </c>
      <c r="W283" s="1">
        <v>120.56666666666668</v>
      </c>
      <c r="X283" s="1">
        <v>120.7</v>
      </c>
      <c r="Y283" s="1">
        <v>122.3</v>
      </c>
      <c r="Z283" s="1">
        <v>119.5</v>
      </c>
      <c r="AA283" s="1">
        <v>112.34</v>
      </c>
      <c r="AB283" s="1">
        <v>118.05999999999999</v>
      </c>
      <c r="AC283" s="1">
        <v>124.75999999999999</v>
      </c>
      <c r="AD283" s="1">
        <v>112.56000000000002</v>
      </c>
      <c r="AE283" s="1">
        <v>117.52000000000001</v>
      </c>
      <c r="AF283" s="1">
        <v>124.94000000000001</v>
      </c>
      <c r="AG283" s="1">
        <f t="shared" si="29"/>
        <v>1648.6599999999999</v>
      </c>
      <c r="AH283" s="1">
        <f t="shared" si="30"/>
        <v>131.38</v>
      </c>
      <c r="AI283" s="1">
        <f t="shared" si="31"/>
        <v>377.70000000000005</v>
      </c>
      <c r="AJ283" s="1">
        <f t="shared" si="32"/>
        <v>120.56666666666668</v>
      </c>
      <c r="AK283" s="1">
        <f t="shared" si="33"/>
        <v>120.7</v>
      </c>
      <c r="AL283" s="1">
        <f t="shared" si="34"/>
        <v>827.04000000000008</v>
      </c>
    </row>
    <row r="284" spans="1:38" x14ac:dyDescent="0.3">
      <c r="A284" t="s">
        <v>28</v>
      </c>
      <c r="B284" s="1">
        <v>2015</v>
      </c>
      <c r="C284" t="s">
        <v>36</v>
      </c>
      <c r="D284" t="str">
        <f t="shared" si="28"/>
        <v>2015-June</v>
      </c>
      <c r="E284" s="1">
        <v>6</v>
      </c>
      <c r="F284" s="1">
        <v>123.76</v>
      </c>
      <c r="G284" s="1">
        <v>132.47999999999999</v>
      </c>
      <c r="H284" s="1">
        <v>121.22</v>
      </c>
      <c r="I284" s="1">
        <v>128.12</v>
      </c>
      <c r="J284" s="1">
        <v>110.2</v>
      </c>
      <c r="K284" s="1">
        <v>132.88</v>
      </c>
      <c r="L284" s="1">
        <v>143.06</v>
      </c>
      <c r="M284" s="1">
        <v>140.13999999999999</v>
      </c>
      <c r="N284" s="1">
        <v>92</v>
      </c>
      <c r="O284" s="1">
        <v>126.78</v>
      </c>
      <c r="P284" s="1">
        <v>119.63999999999999</v>
      </c>
      <c r="Q284" s="1">
        <v>131.07999999999998</v>
      </c>
      <c r="R284" s="1">
        <v>127.88</v>
      </c>
      <c r="S284" s="1">
        <v>130.4</v>
      </c>
      <c r="T284" s="1">
        <v>126.05999999999999</v>
      </c>
      <c r="U284" s="1">
        <v>121.62</v>
      </c>
      <c r="V284" s="1">
        <v>125.4</v>
      </c>
      <c r="W284" s="1">
        <v>119.3</v>
      </c>
      <c r="X284" s="1">
        <v>119.16</v>
      </c>
      <c r="Y284" s="1">
        <v>121.12</v>
      </c>
      <c r="Z284" s="1">
        <v>118.22</v>
      </c>
      <c r="AA284" s="1">
        <v>112.88</v>
      </c>
      <c r="AB284" s="1">
        <v>117.12</v>
      </c>
      <c r="AC284" s="1">
        <v>123.43999999999998</v>
      </c>
      <c r="AD284" s="1">
        <v>112.54</v>
      </c>
      <c r="AE284" s="1">
        <v>117.05999999999999</v>
      </c>
      <c r="AF284" s="1">
        <v>123.17999999999999</v>
      </c>
      <c r="AG284" s="1">
        <f t="shared" si="29"/>
        <v>1629.2400000000002</v>
      </c>
      <c r="AH284" s="1">
        <f t="shared" si="30"/>
        <v>130.4</v>
      </c>
      <c r="AI284" s="1">
        <f t="shared" si="31"/>
        <v>373.08000000000004</v>
      </c>
      <c r="AJ284" s="1">
        <f t="shared" si="32"/>
        <v>119.3</v>
      </c>
      <c r="AK284" s="1">
        <f t="shared" si="33"/>
        <v>119.16</v>
      </c>
      <c r="AL284" s="1">
        <f t="shared" si="34"/>
        <v>822.37999999999988</v>
      </c>
    </row>
    <row r="285" spans="1:38" x14ac:dyDescent="0.3">
      <c r="A285" t="s">
        <v>30</v>
      </c>
      <c r="B285" s="1">
        <v>2015</v>
      </c>
      <c r="C285" t="s">
        <v>36</v>
      </c>
      <c r="D285" t="str">
        <f t="shared" si="28"/>
        <v>2015-June</v>
      </c>
      <c r="E285" s="1">
        <v>6</v>
      </c>
      <c r="F285" s="1">
        <v>123.68</v>
      </c>
      <c r="G285" s="1">
        <v>132.9</v>
      </c>
      <c r="H285" s="1">
        <v>121</v>
      </c>
      <c r="I285" s="1">
        <v>128.04</v>
      </c>
      <c r="J285" s="1">
        <v>109.56</v>
      </c>
      <c r="K285" s="1">
        <v>132.86000000000001</v>
      </c>
      <c r="L285" s="1">
        <v>145.04</v>
      </c>
      <c r="M285" s="1">
        <v>141.58000000000001</v>
      </c>
      <c r="N285" s="1">
        <v>91</v>
      </c>
      <c r="O285" s="1">
        <v>127.4</v>
      </c>
      <c r="P285" s="1">
        <v>119.4</v>
      </c>
      <c r="Q285" s="1">
        <v>131.11999999999998</v>
      </c>
      <c r="R285" s="1">
        <v>128.19999999999999</v>
      </c>
      <c r="S285" s="1">
        <v>130.83999999999997</v>
      </c>
      <c r="T285" s="1">
        <v>125.72</v>
      </c>
      <c r="U285" s="1">
        <v>121.05999999999999</v>
      </c>
      <c r="V285" s="1">
        <v>125.02000000000001</v>
      </c>
      <c r="W285" s="1">
        <v>119.44999999999999</v>
      </c>
      <c r="X285" s="1">
        <v>118.66</v>
      </c>
      <c r="Y285" s="1">
        <v>120.82000000000001</v>
      </c>
      <c r="Z285" s="1">
        <v>117.94000000000001</v>
      </c>
      <c r="AA285" s="1">
        <v>112.58000000000001</v>
      </c>
      <c r="AB285" s="1">
        <v>116.98000000000002</v>
      </c>
      <c r="AC285" s="1">
        <v>123.91999999999999</v>
      </c>
      <c r="AD285" s="1">
        <v>112.4</v>
      </c>
      <c r="AE285" s="1">
        <v>116.92</v>
      </c>
      <c r="AF285" s="1">
        <v>123.08</v>
      </c>
      <c r="AG285" s="1">
        <f t="shared" si="29"/>
        <v>1631.7800000000002</v>
      </c>
      <c r="AH285" s="1">
        <f t="shared" si="30"/>
        <v>130.83999999999997</v>
      </c>
      <c r="AI285" s="1">
        <f t="shared" si="31"/>
        <v>371.79999999999995</v>
      </c>
      <c r="AJ285" s="1">
        <f t="shared" si="32"/>
        <v>119.44999999999999</v>
      </c>
      <c r="AK285" s="1">
        <f t="shared" si="33"/>
        <v>118.66</v>
      </c>
      <c r="AL285" s="1">
        <f t="shared" si="34"/>
        <v>821.56</v>
      </c>
    </row>
    <row r="286" spans="1:38" x14ac:dyDescent="0.3">
      <c r="A286" t="s">
        <v>31</v>
      </c>
      <c r="B286" s="1">
        <v>2015</v>
      </c>
      <c r="C286" t="s">
        <v>36</v>
      </c>
      <c r="D286" t="str">
        <f t="shared" si="28"/>
        <v>2015-June</v>
      </c>
      <c r="E286" s="1">
        <v>6</v>
      </c>
      <c r="F286" s="1">
        <v>123.9</v>
      </c>
      <c r="G286" s="1">
        <v>132.28</v>
      </c>
      <c r="H286" s="1">
        <v>121.08</v>
      </c>
      <c r="I286" s="1">
        <v>128.34</v>
      </c>
      <c r="J286" s="1">
        <v>111.16</v>
      </c>
      <c r="K286" s="1">
        <v>133.24</v>
      </c>
      <c r="L286" s="1">
        <v>146.41999999999999</v>
      </c>
      <c r="M286" s="1">
        <v>139.54</v>
      </c>
      <c r="N286" s="1">
        <v>91.66</v>
      </c>
      <c r="O286" s="1">
        <v>126.08</v>
      </c>
      <c r="P286" s="1">
        <v>120.1</v>
      </c>
      <c r="Q286" s="1">
        <v>131.52000000000001</v>
      </c>
      <c r="R286" s="1">
        <v>128.45999999999998</v>
      </c>
      <c r="S286" s="1">
        <v>130.44</v>
      </c>
      <c r="T286" s="1">
        <v>126.98000000000002</v>
      </c>
      <c r="U286" s="1">
        <v>122.8</v>
      </c>
      <c r="V286" s="1">
        <v>126.35999999999999</v>
      </c>
      <c r="W286" s="1">
        <v>119.60000000000001</v>
      </c>
      <c r="X286" s="1">
        <v>120.4</v>
      </c>
      <c r="Y286" s="1">
        <v>121.72</v>
      </c>
      <c r="Z286" s="1">
        <v>119.08</v>
      </c>
      <c r="AA286" s="1">
        <v>112.96</v>
      </c>
      <c r="AB286" s="1">
        <v>117.44000000000001</v>
      </c>
      <c r="AC286" s="1">
        <v>123.88</v>
      </c>
      <c r="AD286" s="1">
        <v>112.4</v>
      </c>
      <c r="AE286" s="1">
        <v>117.35999999999999</v>
      </c>
      <c r="AF286" s="1">
        <v>123.96000000000001</v>
      </c>
      <c r="AG286" s="1">
        <f t="shared" si="29"/>
        <v>1633.78</v>
      </c>
      <c r="AH286" s="1">
        <f t="shared" si="30"/>
        <v>130.44</v>
      </c>
      <c r="AI286" s="1">
        <f t="shared" si="31"/>
        <v>376.14</v>
      </c>
      <c r="AJ286" s="1">
        <f t="shared" si="32"/>
        <v>119.60000000000001</v>
      </c>
      <c r="AK286" s="1">
        <f t="shared" si="33"/>
        <v>120.4</v>
      </c>
      <c r="AL286" s="1">
        <f t="shared" si="34"/>
        <v>824.83999999999992</v>
      </c>
    </row>
    <row r="287" spans="1:38" x14ac:dyDescent="0.3">
      <c r="A287" t="s">
        <v>28</v>
      </c>
      <c r="B287" s="1">
        <v>2015</v>
      </c>
      <c r="C287" t="s">
        <v>35</v>
      </c>
      <c r="D287" t="str">
        <f t="shared" si="28"/>
        <v>2015-May</v>
      </c>
      <c r="E287" s="1">
        <v>5</v>
      </c>
      <c r="F287" s="1">
        <v>123.72</v>
      </c>
      <c r="G287" s="1">
        <v>129.91999999999999</v>
      </c>
      <c r="H287" s="1">
        <v>117.32</v>
      </c>
      <c r="I287" s="1">
        <v>127.52</v>
      </c>
      <c r="J287" s="1">
        <v>109.52</v>
      </c>
      <c r="K287" s="1">
        <v>132.6</v>
      </c>
      <c r="L287" s="1">
        <v>135.38</v>
      </c>
      <c r="M287" s="1">
        <v>135.47999999999999</v>
      </c>
      <c r="N287" s="1">
        <v>93.96</v>
      </c>
      <c r="O287" s="1">
        <v>125.28</v>
      </c>
      <c r="P287" s="1">
        <v>119.24000000000001</v>
      </c>
      <c r="Q287" s="1">
        <v>130.24</v>
      </c>
      <c r="R287" s="1">
        <v>126.12</v>
      </c>
      <c r="S287" s="1">
        <v>129.23999999999998</v>
      </c>
      <c r="T287" s="1">
        <v>125.34</v>
      </c>
      <c r="U287" s="1">
        <v>121.1</v>
      </c>
      <c r="V287" s="1">
        <v>124.67999999999999</v>
      </c>
      <c r="W287" s="1">
        <v>119.39999999999999</v>
      </c>
      <c r="X287" s="1">
        <v>118.74000000000001</v>
      </c>
      <c r="Y287" s="1">
        <v>120.47999999999999</v>
      </c>
      <c r="Z287" s="1">
        <v>117.55999999999999</v>
      </c>
      <c r="AA287" s="1">
        <v>112.4</v>
      </c>
      <c r="AB287" s="1">
        <v>116.62</v>
      </c>
      <c r="AC287" s="1">
        <v>121.93999999999998</v>
      </c>
      <c r="AD287" s="1">
        <v>112.5</v>
      </c>
      <c r="AE287" s="1">
        <v>116.42</v>
      </c>
      <c r="AF287" s="1">
        <v>122.10000000000002</v>
      </c>
      <c r="AG287" s="1">
        <f t="shared" si="29"/>
        <v>1606.3000000000002</v>
      </c>
      <c r="AH287" s="1">
        <f t="shared" si="30"/>
        <v>129.23999999999998</v>
      </c>
      <c r="AI287" s="1">
        <f t="shared" si="31"/>
        <v>371.12</v>
      </c>
      <c r="AJ287" s="1">
        <f t="shared" si="32"/>
        <v>119.39999999999999</v>
      </c>
      <c r="AK287" s="1">
        <f t="shared" si="33"/>
        <v>118.74000000000001</v>
      </c>
      <c r="AL287" s="1">
        <f t="shared" si="34"/>
        <v>817.91999999999985</v>
      </c>
    </row>
    <row r="288" spans="1:38" x14ac:dyDescent="0.3">
      <c r="A288" t="s">
        <v>30</v>
      </c>
      <c r="B288" s="1">
        <v>2015</v>
      </c>
      <c r="C288" t="s">
        <v>35</v>
      </c>
      <c r="D288" t="str">
        <f t="shared" si="28"/>
        <v>2015-May</v>
      </c>
      <c r="E288" s="1">
        <v>5</v>
      </c>
      <c r="F288" s="1">
        <v>123.8</v>
      </c>
      <c r="G288" s="1">
        <v>130.86000000000001</v>
      </c>
      <c r="H288" s="1">
        <v>118.18</v>
      </c>
      <c r="I288" s="1">
        <v>127.62</v>
      </c>
      <c r="J288" s="1">
        <v>109.24</v>
      </c>
      <c r="K288" s="1">
        <v>132.34</v>
      </c>
      <c r="L288" s="1">
        <v>137.5</v>
      </c>
      <c r="M288" s="1">
        <v>138.1</v>
      </c>
      <c r="N288" s="1">
        <v>93.26</v>
      </c>
      <c r="O288" s="1">
        <v>126.24000000000001</v>
      </c>
      <c r="P288" s="1">
        <v>119.16</v>
      </c>
      <c r="Q288" s="1">
        <v>130.46</v>
      </c>
      <c r="R288" s="1">
        <v>126.7</v>
      </c>
      <c r="S288" s="1">
        <v>129.74</v>
      </c>
      <c r="T288" s="1">
        <v>125.16000000000001</v>
      </c>
      <c r="U288" s="1">
        <v>120.67999999999999</v>
      </c>
      <c r="V288" s="1">
        <v>124.46000000000001</v>
      </c>
      <c r="W288" s="1">
        <v>119.3</v>
      </c>
      <c r="X288" s="1">
        <v>118.32000000000001</v>
      </c>
      <c r="Y288" s="1">
        <v>120.4</v>
      </c>
      <c r="Z288" s="1">
        <v>117.38</v>
      </c>
      <c r="AA288" s="1">
        <v>112.32000000000001</v>
      </c>
      <c r="AB288" s="1">
        <v>116.66000000000001</v>
      </c>
      <c r="AC288" s="1">
        <v>122.46</v>
      </c>
      <c r="AD288" s="1">
        <v>112.6</v>
      </c>
      <c r="AE288" s="1">
        <v>116.44000000000001</v>
      </c>
      <c r="AF288" s="1">
        <v>122.21999999999998</v>
      </c>
      <c r="AG288" s="1">
        <f t="shared" si="29"/>
        <v>1613.4600000000003</v>
      </c>
      <c r="AH288" s="1">
        <f t="shared" si="30"/>
        <v>129.74</v>
      </c>
      <c r="AI288" s="1">
        <f t="shared" si="31"/>
        <v>370.3</v>
      </c>
      <c r="AJ288" s="1">
        <f t="shared" si="32"/>
        <v>119.3</v>
      </c>
      <c r="AK288" s="1">
        <f t="shared" si="33"/>
        <v>118.32000000000001</v>
      </c>
      <c r="AL288" s="1">
        <f t="shared" si="34"/>
        <v>818.2600000000001</v>
      </c>
    </row>
    <row r="289" spans="1:38" x14ac:dyDescent="0.3">
      <c r="A289" t="s">
        <v>31</v>
      </c>
      <c r="B289" s="1">
        <v>2015</v>
      </c>
      <c r="C289" t="s">
        <v>35</v>
      </c>
      <c r="D289" t="str">
        <f t="shared" si="28"/>
        <v>2015-May</v>
      </c>
      <c r="E289" s="1">
        <v>5</v>
      </c>
      <c r="F289" s="1">
        <v>123.84</v>
      </c>
      <c r="G289" s="1">
        <v>131.22</v>
      </c>
      <c r="H289" s="1">
        <v>120.32</v>
      </c>
      <c r="I289" s="1">
        <v>128.04</v>
      </c>
      <c r="J289" s="1">
        <v>110.9</v>
      </c>
      <c r="K289" s="1">
        <v>132.84</v>
      </c>
      <c r="L289" s="1">
        <v>138.54</v>
      </c>
      <c r="M289" s="1">
        <v>136.34</v>
      </c>
      <c r="N289" s="1">
        <v>93.92</v>
      </c>
      <c r="O289" s="1">
        <v>125.16</v>
      </c>
      <c r="P289" s="1">
        <v>119.82000000000001</v>
      </c>
      <c r="Q289" s="1">
        <v>130.82</v>
      </c>
      <c r="R289" s="1">
        <v>126.98000000000002</v>
      </c>
      <c r="S289" s="1">
        <v>129.36000000000001</v>
      </c>
      <c r="T289" s="1">
        <v>126.44000000000001</v>
      </c>
      <c r="U289" s="1">
        <v>122.3</v>
      </c>
      <c r="V289" s="1">
        <v>125.8</v>
      </c>
      <c r="W289" s="1">
        <v>119.2</v>
      </c>
      <c r="X289" s="1">
        <v>119.94000000000001</v>
      </c>
      <c r="Y289" s="1">
        <v>121.25999999999999</v>
      </c>
      <c r="Z289" s="1">
        <v>118.55999999999999</v>
      </c>
      <c r="AA289" s="1">
        <v>112.97999999999999</v>
      </c>
      <c r="AB289" s="1">
        <v>117.05999999999999</v>
      </c>
      <c r="AC289" s="1">
        <v>122.63999999999999</v>
      </c>
      <c r="AD289" s="1">
        <v>112.66000000000001</v>
      </c>
      <c r="AE289" s="1">
        <v>117.02000000000001</v>
      </c>
      <c r="AF289" s="1">
        <v>123.02000000000001</v>
      </c>
      <c r="AG289" s="1">
        <f t="shared" si="29"/>
        <v>1618.74</v>
      </c>
      <c r="AH289" s="1">
        <f t="shared" si="30"/>
        <v>129.36000000000001</v>
      </c>
      <c r="AI289" s="1">
        <f t="shared" si="31"/>
        <v>374.54</v>
      </c>
      <c r="AJ289" s="1">
        <f t="shared" si="32"/>
        <v>119.2</v>
      </c>
      <c r="AK289" s="1">
        <f t="shared" si="33"/>
        <v>119.94000000000001</v>
      </c>
      <c r="AL289" s="1">
        <f t="shared" si="34"/>
        <v>822.18</v>
      </c>
    </row>
    <row r="290" spans="1:38" x14ac:dyDescent="0.3">
      <c r="A290" t="s">
        <v>28</v>
      </c>
      <c r="B290" s="1">
        <v>2015</v>
      </c>
      <c r="C290" t="s">
        <v>34</v>
      </c>
      <c r="D290" t="str">
        <f t="shared" si="28"/>
        <v>2015-April</v>
      </c>
      <c r="E290" s="1">
        <v>4</v>
      </c>
      <c r="F290" s="1">
        <v>123.58</v>
      </c>
      <c r="G290" s="1">
        <v>127.38</v>
      </c>
      <c r="H290" s="1">
        <v>114.04</v>
      </c>
      <c r="I290" s="1">
        <v>126.8</v>
      </c>
      <c r="J290" s="1">
        <v>108.66</v>
      </c>
      <c r="K290" s="1">
        <v>132.44</v>
      </c>
      <c r="L290" s="1">
        <v>130.19999999999999</v>
      </c>
      <c r="M290" s="1">
        <v>128.9</v>
      </c>
      <c r="N290" s="1">
        <v>94.7</v>
      </c>
      <c r="O290" s="1">
        <v>123.88</v>
      </c>
      <c r="P290" s="1">
        <v>118.6</v>
      </c>
      <c r="Q290" s="1">
        <v>129.39999999999998</v>
      </c>
      <c r="R290" s="1">
        <v>124.54</v>
      </c>
      <c r="S290" s="1">
        <v>128.14000000000001</v>
      </c>
      <c r="T290" s="1">
        <v>124.58</v>
      </c>
      <c r="U290" s="1">
        <v>120.55999999999999</v>
      </c>
      <c r="V290" s="1">
        <v>123.96</v>
      </c>
      <c r="W290" s="1">
        <v>119.33333333333333</v>
      </c>
      <c r="X290" s="1">
        <v>118.28</v>
      </c>
      <c r="Y290" s="1">
        <v>119.84</v>
      </c>
      <c r="Z290" s="1">
        <v>116.91999999999999</v>
      </c>
      <c r="AA290" s="1">
        <v>110.9</v>
      </c>
      <c r="AB290" s="1">
        <v>116.08000000000001</v>
      </c>
      <c r="AC290" s="1">
        <v>121.02000000000001</v>
      </c>
      <c r="AD290" s="1">
        <v>111.96</v>
      </c>
      <c r="AE290" s="1">
        <v>115.47999999999999</v>
      </c>
      <c r="AF290" s="1">
        <v>121</v>
      </c>
      <c r="AG290" s="1">
        <f t="shared" si="29"/>
        <v>1583.12</v>
      </c>
      <c r="AH290" s="1">
        <f t="shared" si="30"/>
        <v>128.14000000000001</v>
      </c>
      <c r="AI290" s="1">
        <f t="shared" si="31"/>
        <v>369.09999999999997</v>
      </c>
      <c r="AJ290" s="1">
        <f t="shared" si="32"/>
        <v>119.33333333333333</v>
      </c>
      <c r="AK290" s="1">
        <f t="shared" si="33"/>
        <v>118.28</v>
      </c>
      <c r="AL290" s="1">
        <f t="shared" si="34"/>
        <v>812.2</v>
      </c>
    </row>
    <row r="291" spans="1:38" x14ac:dyDescent="0.3">
      <c r="A291" t="s">
        <v>30</v>
      </c>
      <c r="B291" s="1">
        <v>2015</v>
      </c>
      <c r="C291" t="s">
        <v>34</v>
      </c>
      <c r="D291" t="str">
        <f t="shared" si="28"/>
        <v>2015-April</v>
      </c>
      <c r="E291" s="1">
        <v>4</v>
      </c>
      <c r="F291" s="1">
        <v>123.64</v>
      </c>
      <c r="G291" s="1">
        <v>127.88</v>
      </c>
      <c r="H291" s="1">
        <v>113.6</v>
      </c>
      <c r="I291" s="1">
        <v>126.9</v>
      </c>
      <c r="J291" s="1">
        <v>108.24</v>
      </c>
      <c r="K291" s="1">
        <v>132.12</v>
      </c>
      <c r="L291" s="1">
        <v>130.88</v>
      </c>
      <c r="M291" s="1">
        <v>130.69999999999999</v>
      </c>
      <c r="N291" s="1">
        <v>94.2</v>
      </c>
      <c r="O291" s="1">
        <v>124.6</v>
      </c>
      <c r="P291" s="1">
        <v>118.55999999999999</v>
      </c>
      <c r="Q291" s="1">
        <v>129.62000000000003</v>
      </c>
      <c r="R291" s="1">
        <v>124.82000000000001</v>
      </c>
      <c r="S291" s="1">
        <v>128.57999999999998</v>
      </c>
      <c r="T291" s="1">
        <v>124.38</v>
      </c>
      <c r="U291" s="1">
        <v>120.16</v>
      </c>
      <c r="V291" s="1">
        <v>123.7</v>
      </c>
      <c r="W291" s="1">
        <v>119.4</v>
      </c>
      <c r="X291" s="1">
        <v>117.88000000000002</v>
      </c>
      <c r="Y291" s="1">
        <v>119.7</v>
      </c>
      <c r="Z291" s="1">
        <v>116.74000000000001</v>
      </c>
      <c r="AA291" s="1">
        <v>110.92</v>
      </c>
      <c r="AB291" s="1">
        <v>116.1</v>
      </c>
      <c r="AC291" s="1">
        <v>121.32000000000001</v>
      </c>
      <c r="AD291" s="1">
        <v>112.1</v>
      </c>
      <c r="AE291" s="1">
        <v>115.5</v>
      </c>
      <c r="AF291" s="1">
        <v>121.02000000000001</v>
      </c>
      <c r="AG291" s="1">
        <f t="shared" si="29"/>
        <v>1585.76</v>
      </c>
      <c r="AH291" s="1">
        <f t="shared" si="30"/>
        <v>128.57999999999998</v>
      </c>
      <c r="AI291" s="1">
        <f t="shared" si="31"/>
        <v>368.24</v>
      </c>
      <c r="AJ291" s="1">
        <f t="shared" si="32"/>
        <v>119.4</v>
      </c>
      <c r="AK291" s="1">
        <f t="shared" si="33"/>
        <v>117.88000000000002</v>
      </c>
      <c r="AL291" s="1">
        <f t="shared" si="34"/>
        <v>812.38000000000011</v>
      </c>
    </row>
    <row r="292" spans="1:38" x14ac:dyDescent="0.3">
      <c r="A292" t="s">
        <v>31</v>
      </c>
      <c r="B292" s="1">
        <v>2015</v>
      </c>
      <c r="C292" t="s">
        <v>34</v>
      </c>
      <c r="D292" t="str">
        <f t="shared" si="28"/>
        <v>2015-April</v>
      </c>
      <c r="E292" s="1">
        <v>4</v>
      </c>
      <c r="F292" s="1">
        <v>123.7</v>
      </c>
      <c r="G292" s="1">
        <v>128.32</v>
      </c>
      <c r="H292" s="1">
        <v>116.02</v>
      </c>
      <c r="I292" s="1">
        <v>127.38</v>
      </c>
      <c r="J292" s="1">
        <v>110.16</v>
      </c>
      <c r="K292" s="1">
        <v>132.63999999999999</v>
      </c>
      <c r="L292" s="1">
        <v>131.76</v>
      </c>
      <c r="M292" s="1">
        <v>130.82</v>
      </c>
      <c r="N292" s="1">
        <v>95.14</v>
      </c>
      <c r="O292" s="1">
        <v>123.66000000000001</v>
      </c>
      <c r="P292" s="1">
        <v>119.33999999999999</v>
      </c>
      <c r="Q292" s="1">
        <v>129.95999999999998</v>
      </c>
      <c r="R292" s="1">
        <v>125.22</v>
      </c>
      <c r="S292" s="1">
        <v>128.19999999999999</v>
      </c>
      <c r="T292" s="1">
        <v>125.63999999999999</v>
      </c>
      <c r="U292" s="1">
        <v>121.73999999999998</v>
      </c>
      <c r="V292" s="1">
        <v>125.04</v>
      </c>
      <c r="W292" s="1">
        <v>119.46666666666665</v>
      </c>
      <c r="X292" s="1">
        <v>119.46</v>
      </c>
      <c r="Y292" s="1">
        <v>120.58</v>
      </c>
      <c r="Z292" s="1">
        <v>117.9</v>
      </c>
      <c r="AA292" s="1">
        <v>112.08</v>
      </c>
      <c r="AB292" s="1">
        <v>116.56000000000002</v>
      </c>
      <c r="AC292" s="1">
        <v>121.38</v>
      </c>
      <c r="AD292" s="1">
        <v>112.34</v>
      </c>
      <c r="AE292" s="1">
        <v>116.23999999999998</v>
      </c>
      <c r="AF292" s="1">
        <v>121.9</v>
      </c>
      <c r="AG292" s="1">
        <f t="shared" si="29"/>
        <v>1594.1200000000001</v>
      </c>
      <c r="AH292" s="1">
        <f t="shared" si="30"/>
        <v>128.19999999999999</v>
      </c>
      <c r="AI292" s="1">
        <f t="shared" si="31"/>
        <v>372.41999999999996</v>
      </c>
      <c r="AJ292" s="1">
        <f t="shared" si="32"/>
        <v>119.46666666666665</v>
      </c>
      <c r="AK292" s="1">
        <f t="shared" si="33"/>
        <v>119.46</v>
      </c>
      <c r="AL292" s="1">
        <f t="shared" si="34"/>
        <v>817.08</v>
      </c>
    </row>
    <row r="293" spans="1:38" x14ac:dyDescent="0.3">
      <c r="A293" t="s">
        <v>28</v>
      </c>
      <c r="B293" s="1">
        <v>2015</v>
      </c>
      <c r="C293" t="s">
        <v>33</v>
      </c>
      <c r="D293" t="str">
        <f t="shared" si="28"/>
        <v>2015-March</v>
      </c>
      <c r="E293" s="1">
        <v>3</v>
      </c>
      <c r="F293" s="1">
        <v>123.58</v>
      </c>
      <c r="G293" s="1">
        <v>126.1</v>
      </c>
      <c r="H293" s="1">
        <v>115.28</v>
      </c>
      <c r="I293" s="1">
        <v>126.2</v>
      </c>
      <c r="J293" s="1">
        <v>108.44</v>
      </c>
      <c r="K293" s="1">
        <v>129.41999999999999</v>
      </c>
      <c r="L293" s="1">
        <v>129.38</v>
      </c>
      <c r="M293" s="1">
        <v>124.46</v>
      </c>
      <c r="N293" s="1">
        <v>95.7</v>
      </c>
      <c r="O293" s="1">
        <v>123.28</v>
      </c>
      <c r="P293" s="1">
        <v>118.12</v>
      </c>
      <c r="Q293" s="1">
        <v>128.69999999999999</v>
      </c>
      <c r="R293" s="1">
        <v>123.72</v>
      </c>
      <c r="S293" s="1">
        <v>127.02000000000001</v>
      </c>
      <c r="T293" s="1">
        <v>124.1</v>
      </c>
      <c r="U293" s="1">
        <v>120.14000000000001</v>
      </c>
      <c r="V293" s="1">
        <v>123.47999999999999</v>
      </c>
      <c r="W293" s="1">
        <v>118.8</v>
      </c>
      <c r="X293" s="1">
        <v>117.84</v>
      </c>
      <c r="Y293" s="1">
        <v>119.33999999999999</v>
      </c>
      <c r="Z293" s="1">
        <v>116.47999999999999</v>
      </c>
      <c r="AA293" s="1">
        <v>110.03999999999999</v>
      </c>
      <c r="AB293" s="1">
        <v>115.62</v>
      </c>
      <c r="AC293" s="1">
        <v>120.34</v>
      </c>
      <c r="AD293" s="1">
        <v>111.3</v>
      </c>
      <c r="AE293" s="1">
        <v>114.84</v>
      </c>
      <c r="AF293" s="1">
        <v>120.32000000000001</v>
      </c>
      <c r="AG293" s="1">
        <f t="shared" si="29"/>
        <v>1572.38</v>
      </c>
      <c r="AH293" s="1">
        <f t="shared" si="30"/>
        <v>127.02000000000001</v>
      </c>
      <c r="AI293" s="1">
        <f t="shared" si="31"/>
        <v>367.72</v>
      </c>
      <c r="AJ293" s="1">
        <f t="shared" si="32"/>
        <v>118.8</v>
      </c>
      <c r="AK293" s="1">
        <f t="shared" si="33"/>
        <v>117.84</v>
      </c>
      <c r="AL293" s="1">
        <f t="shared" si="34"/>
        <v>807.96</v>
      </c>
    </row>
    <row r="294" spans="1:38" x14ac:dyDescent="0.3">
      <c r="A294" t="s">
        <v>30</v>
      </c>
      <c r="B294" s="1">
        <v>2015</v>
      </c>
      <c r="C294" t="s">
        <v>33</v>
      </c>
      <c r="D294" t="str">
        <f t="shared" si="28"/>
        <v>2015-March</v>
      </c>
      <c r="E294" s="1">
        <v>3</v>
      </c>
      <c r="F294" s="1">
        <v>123.62</v>
      </c>
      <c r="G294" s="1">
        <v>126.44</v>
      </c>
      <c r="H294" s="1">
        <v>114.38</v>
      </c>
      <c r="I294" s="1">
        <v>126.32</v>
      </c>
      <c r="J294" s="1">
        <v>107.92</v>
      </c>
      <c r="K294" s="1">
        <v>129.74</v>
      </c>
      <c r="L294" s="1">
        <v>129.5</v>
      </c>
      <c r="M294" s="1">
        <v>125.44</v>
      </c>
      <c r="N294" s="1">
        <v>95.06</v>
      </c>
      <c r="O294" s="1">
        <v>123.88</v>
      </c>
      <c r="P294" s="1">
        <v>118.04</v>
      </c>
      <c r="Q294" s="1">
        <v>128.97999999999999</v>
      </c>
      <c r="R294" s="1">
        <v>123.9</v>
      </c>
      <c r="S294" s="1">
        <v>127.46</v>
      </c>
      <c r="T294" s="1">
        <v>123.84</v>
      </c>
      <c r="U294" s="1">
        <v>119.72</v>
      </c>
      <c r="V294" s="1">
        <v>123.2</v>
      </c>
      <c r="W294" s="1">
        <v>118.89999999999999</v>
      </c>
      <c r="X294" s="1">
        <v>117.46</v>
      </c>
      <c r="Y294" s="1">
        <v>119.24000000000001</v>
      </c>
      <c r="Z294" s="1">
        <v>116.26000000000002</v>
      </c>
      <c r="AA294" s="1">
        <v>109.74000000000001</v>
      </c>
      <c r="AB294" s="1">
        <v>115.7</v>
      </c>
      <c r="AC294" s="1">
        <v>120.66</v>
      </c>
      <c r="AD294" s="1">
        <v>111.47999999999999</v>
      </c>
      <c r="AE294" s="1">
        <v>114.75999999999999</v>
      </c>
      <c r="AF294" s="1">
        <v>120.24000000000001</v>
      </c>
      <c r="AG294" s="1">
        <f t="shared" si="29"/>
        <v>1573.2199999999998</v>
      </c>
      <c r="AH294" s="1">
        <f t="shared" si="30"/>
        <v>127.46</v>
      </c>
      <c r="AI294" s="1">
        <f t="shared" si="31"/>
        <v>366.76</v>
      </c>
      <c r="AJ294" s="1">
        <f t="shared" si="32"/>
        <v>118.89999999999999</v>
      </c>
      <c r="AK294" s="1">
        <f t="shared" si="33"/>
        <v>117.46</v>
      </c>
      <c r="AL294" s="1">
        <f t="shared" si="34"/>
        <v>807.84</v>
      </c>
    </row>
    <row r="295" spans="1:38" x14ac:dyDescent="0.3">
      <c r="A295" t="s">
        <v>31</v>
      </c>
      <c r="B295" s="1">
        <v>2015</v>
      </c>
      <c r="C295" t="s">
        <v>33</v>
      </c>
      <c r="D295" t="str">
        <f t="shared" si="28"/>
        <v>2015-March</v>
      </c>
      <c r="E295" s="1">
        <v>3</v>
      </c>
      <c r="F295" s="1">
        <v>123.52</v>
      </c>
      <c r="G295" s="1">
        <v>126.52</v>
      </c>
      <c r="H295" s="1">
        <v>115.14</v>
      </c>
      <c r="I295" s="1">
        <v>126.68</v>
      </c>
      <c r="J295" s="1">
        <v>109.46</v>
      </c>
      <c r="K295" s="1">
        <v>131.80000000000001</v>
      </c>
      <c r="L295" s="1">
        <v>128.91999999999999</v>
      </c>
      <c r="M295" s="1">
        <v>124.86</v>
      </c>
      <c r="N295" s="1">
        <v>95.94</v>
      </c>
      <c r="O295" s="1">
        <v>122.54</v>
      </c>
      <c r="P295" s="1">
        <v>118.67999999999999</v>
      </c>
      <c r="Q295" s="1">
        <v>129.1</v>
      </c>
      <c r="R295" s="1">
        <v>124</v>
      </c>
      <c r="S295" s="1">
        <v>127.04</v>
      </c>
      <c r="T295" s="1">
        <v>124.96</v>
      </c>
      <c r="U295" s="1">
        <v>121.16</v>
      </c>
      <c r="V295" s="1">
        <v>124.38</v>
      </c>
      <c r="W295" s="1">
        <v>119</v>
      </c>
      <c r="X295" s="1">
        <v>118.96</v>
      </c>
      <c r="Y295" s="1">
        <v>119.94000000000001</v>
      </c>
      <c r="Z295" s="1">
        <v>117.28</v>
      </c>
      <c r="AA295" s="1">
        <v>110.72</v>
      </c>
      <c r="AB295" s="1">
        <v>115.96000000000001</v>
      </c>
      <c r="AC295" s="1">
        <v>120.64000000000001</v>
      </c>
      <c r="AD295" s="1">
        <v>111.67999999999999</v>
      </c>
      <c r="AE295" s="1">
        <v>115.38</v>
      </c>
      <c r="AF295" s="1">
        <v>120.9</v>
      </c>
      <c r="AG295" s="1">
        <f t="shared" si="29"/>
        <v>1577.16</v>
      </c>
      <c r="AH295" s="1">
        <f t="shared" si="30"/>
        <v>127.04</v>
      </c>
      <c r="AI295" s="1">
        <f t="shared" si="31"/>
        <v>370.5</v>
      </c>
      <c r="AJ295" s="1">
        <f t="shared" si="32"/>
        <v>119</v>
      </c>
      <c r="AK295" s="1">
        <f t="shared" si="33"/>
        <v>118.96</v>
      </c>
      <c r="AL295" s="1">
        <f t="shared" si="34"/>
        <v>811.6</v>
      </c>
    </row>
    <row r="296" spans="1:38" x14ac:dyDescent="0.3">
      <c r="A296" t="s">
        <v>28</v>
      </c>
      <c r="B296" s="1">
        <v>2015</v>
      </c>
      <c r="C296" t="s">
        <v>32</v>
      </c>
      <c r="D296" t="str">
        <f t="shared" si="28"/>
        <v>2015-February</v>
      </c>
      <c r="E296" s="1">
        <v>2</v>
      </c>
      <c r="F296" s="1">
        <v>123.74</v>
      </c>
      <c r="G296" s="1">
        <v>125.48</v>
      </c>
      <c r="H296" s="1">
        <v>119.02</v>
      </c>
      <c r="I296" s="1">
        <v>125.8</v>
      </c>
      <c r="J296" s="1">
        <v>108.42</v>
      </c>
      <c r="K296" s="1">
        <v>126.3</v>
      </c>
      <c r="L296" s="1">
        <v>129.76</v>
      </c>
      <c r="M296" s="1">
        <v>122.38</v>
      </c>
      <c r="N296" s="1">
        <v>97.08</v>
      </c>
      <c r="O296" s="1">
        <v>122.93999999999998</v>
      </c>
      <c r="P296" s="1">
        <v>117.9</v>
      </c>
      <c r="Q296" s="1">
        <v>127.97999999999999</v>
      </c>
      <c r="R296" s="1">
        <v>123.32000000000001</v>
      </c>
      <c r="S296" s="1">
        <v>126.2</v>
      </c>
      <c r="T296" s="1">
        <v>123.64000000000001</v>
      </c>
      <c r="U296" s="1">
        <v>119.81999999999998</v>
      </c>
      <c r="V296" s="1">
        <v>123.05999999999999</v>
      </c>
      <c r="W296" s="1">
        <v>118.26666666666665</v>
      </c>
      <c r="X296" s="1">
        <v>117.33999999999999</v>
      </c>
      <c r="Y296" s="1">
        <v>118.84</v>
      </c>
      <c r="Z296" s="1">
        <v>116.12</v>
      </c>
      <c r="AA296" s="1">
        <v>109.28</v>
      </c>
      <c r="AB296" s="1">
        <v>115.1</v>
      </c>
      <c r="AC296" s="1">
        <v>119.76000000000002</v>
      </c>
      <c r="AD296" s="1">
        <v>111.16</v>
      </c>
      <c r="AE296" s="1">
        <v>114.31999999999998</v>
      </c>
      <c r="AF296" s="1">
        <v>119.84</v>
      </c>
      <c r="AG296" s="1">
        <f t="shared" si="29"/>
        <v>1570.1200000000001</v>
      </c>
      <c r="AH296" s="1">
        <f t="shared" si="30"/>
        <v>126.2</v>
      </c>
      <c r="AI296" s="1">
        <f t="shared" si="31"/>
        <v>366.52</v>
      </c>
      <c r="AJ296" s="1">
        <f t="shared" si="32"/>
        <v>118.26666666666665</v>
      </c>
      <c r="AK296" s="1">
        <f t="shared" si="33"/>
        <v>117.33999999999999</v>
      </c>
      <c r="AL296" s="1">
        <f t="shared" si="34"/>
        <v>804.57999999999993</v>
      </c>
    </row>
    <row r="297" spans="1:38" x14ac:dyDescent="0.3">
      <c r="A297" t="s">
        <v>30</v>
      </c>
      <c r="B297" s="1">
        <v>2015</v>
      </c>
      <c r="C297" t="s">
        <v>32</v>
      </c>
      <c r="D297" t="str">
        <f t="shared" si="28"/>
        <v>2015-February</v>
      </c>
      <c r="E297" s="1">
        <v>2</v>
      </c>
      <c r="F297" s="1">
        <v>123.76</v>
      </c>
      <c r="G297" s="1">
        <v>125.68</v>
      </c>
      <c r="H297" s="1">
        <v>117.96</v>
      </c>
      <c r="I297" s="1">
        <v>125.84</v>
      </c>
      <c r="J297" s="1">
        <v>107.96</v>
      </c>
      <c r="K297" s="1">
        <v>125.94</v>
      </c>
      <c r="L297" s="1">
        <v>129.96</v>
      </c>
      <c r="M297" s="1">
        <v>123.1</v>
      </c>
      <c r="N297" s="1">
        <v>96.48</v>
      </c>
      <c r="O297" s="1">
        <v>123.64000000000001</v>
      </c>
      <c r="P297" s="1">
        <v>117.76000000000002</v>
      </c>
      <c r="Q297" s="1">
        <v>128.29999999999998</v>
      </c>
      <c r="R297" s="1">
        <v>123.43999999999998</v>
      </c>
      <c r="S297" s="1">
        <v>126.52000000000001</v>
      </c>
      <c r="T297" s="1">
        <v>123.42</v>
      </c>
      <c r="U297" s="1">
        <v>119.35999999999999</v>
      </c>
      <c r="V297" s="1">
        <v>122.8</v>
      </c>
      <c r="W297" s="1">
        <v>118.35</v>
      </c>
      <c r="X297" s="1">
        <v>116.99999999999997</v>
      </c>
      <c r="Y297" s="1">
        <v>118.76000000000002</v>
      </c>
      <c r="Z297" s="1">
        <v>115.92</v>
      </c>
      <c r="AA297" s="1">
        <v>109.08</v>
      </c>
      <c r="AB297" s="1">
        <v>115.22</v>
      </c>
      <c r="AC297" s="1">
        <v>120.04</v>
      </c>
      <c r="AD297" s="1">
        <v>111.2</v>
      </c>
      <c r="AE297" s="1">
        <v>114.26000000000002</v>
      </c>
      <c r="AF297" s="1">
        <v>119.76000000000002</v>
      </c>
      <c r="AG297" s="1">
        <f t="shared" si="29"/>
        <v>1569.8200000000002</v>
      </c>
      <c r="AH297" s="1">
        <f t="shared" si="30"/>
        <v>126.52000000000001</v>
      </c>
      <c r="AI297" s="1">
        <f t="shared" si="31"/>
        <v>365.58</v>
      </c>
      <c r="AJ297" s="1">
        <f t="shared" si="32"/>
        <v>118.35</v>
      </c>
      <c r="AK297" s="1">
        <f t="shared" si="33"/>
        <v>116.99999999999997</v>
      </c>
      <c r="AL297" s="1">
        <f t="shared" si="34"/>
        <v>804.48</v>
      </c>
    </row>
    <row r="298" spans="1:38" x14ac:dyDescent="0.3">
      <c r="A298" t="s">
        <v>31</v>
      </c>
      <c r="B298" s="1">
        <v>2015</v>
      </c>
      <c r="C298" t="s">
        <v>32</v>
      </c>
      <c r="D298" t="str">
        <f t="shared" si="28"/>
        <v>2015-February</v>
      </c>
      <c r="E298" s="1">
        <v>2</v>
      </c>
      <c r="F298" s="1">
        <v>123.56</v>
      </c>
      <c r="G298" s="1">
        <v>125.48</v>
      </c>
      <c r="H298" s="1">
        <v>117.5</v>
      </c>
      <c r="I298" s="1">
        <v>126.08</v>
      </c>
      <c r="J298" s="1">
        <v>109.36</v>
      </c>
      <c r="K298" s="1">
        <v>128.46</v>
      </c>
      <c r="L298" s="1">
        <v>129.1</v>
      </c>
      <c r="M298" s="1">
        <v>122.38</v>
      </c>
      <c r="N298" s="1">
        <v>97.04</v>
      </c>
      <c r="O298" s="1">
        <v>122.05999999999999</v>
      </c>
      <c r="P298" s="1">
        <v>118.28</v>
      </c>
      <c r="Q298" s="1">
        <v>128.32</v>
      </c>
      <c r="R298" s="1">
        <v>123.42</v>
      </c>
      <c r="S298" s="1">
        <v>126.04</v>
      </c>
      <c r="T298" s="1">
        <v>124.44000000000001</v>
      </c>
      <c r="U298" s="1">
        <v>120.71999999999998</v>
      </c>
      <c r="V298" s="1">
        <v>123.88000000000002</v>
      </c>
      <c r="W298" s="1">
        <v>118.43333333333332</v>
      </c>
      <c r="X298" s="1">
        <v>118.44000000000001</v>
      </c>
      <c r="Y298" s="1">
        <v>119.4</v>
      </c>
      <c r="Z298" s="1">
        <v>116.82000000000001</v>
      </c>
      <c r="AA298" s="1">
        <v>110.1</v>
      </c>
      <c r="AB298" s="1">
        <v>115.48000000000002</v>
      </c>
      <c r="AC298" s="1">
        <v>119.94000000000001</v>
      </c>
      <c r="AD298" s="1">
        <v>111.17999999999999</v>
      </c>
      <c r="AE298" s="1">
        <v>114.81999999999998</v>
      </c>
      <c r="AF298" s="1">
        <v>120.31999999999998</v>
      </c>
      <c r="AG298" s="1">
        <f t="shared" si="29"/>
        <v>1571.04</v>
      </c>
      <c r="AH298" s="1">
        <f t="shared" si="30"/>
        <v>126.04</v>
      </c>
      <c r="AI298" s="1">
        <f t="shared" si="31"/>
        <v>369.04</v>
      </c>
      <c r="AJ298" s="1">
        <f t="shared" si="32"/>
        <v>118.43333333333332</v>
      </c>
      <c r="AK298" s="1">
        <f t="shared" si="33"/>
        <v>118.44000000000001</v>
      </c>
      <c r="AL298" s="1">
        <f t="shared" si="34"/>
        <v>807.74</v>
      </c>
    </row>
    <row r="299" spans="1:38" x14ac:dyDescent="0.3">
      <c r="A299" t="s">
        <v>28</v>
      </c>
      <c r="B299" s="1">
        <v>2015</v>
      </c>
      <c r="C299" t="s">
        <v>29</v>
      </c>
      <c r="D299" t="str">
        <f t="shared" si="28"/>
        <v>2015-January</v>
      </c>
      <c r="E299" s="1">
        <v>1</v>
      </c>
      <c r="F299" s="1">
        <v>123.64</v>
      </c>
      <c r="G299" s="1">
        <v>124.68</v>
      </c>
      <c r="H299" s="1">
        <v>122.82</v>
      </c>
      <c r="I299" s="1">
        <v>125.3</v>
      </c>
      <c r="J299" s="1">
        <v>108.04</v>
      </c>
      <c r="K299" s="1">
        <v>125.78</v>
      </c>
      <c r="L299" s="1">
        <v>131.94</v>
      </c>
      <c r="M299" s="1">
        <v>120.62</v>
      </c>
      <c r="N299" s="1">
        <v>98.12</v>
      </c>
      <c r="O299" s="1">
        <v>122.08000000000001</v>
      </c>
      <c r="P299" s="1">
        <v>117.46</v>
      </c>
      <c r="Q299" s="1">
        <v>127.14000000000001</v>
      </c>
      <c r="R299" s="1">
        <v>123.17999999999999</v>
      </c>
      <c r="S299" s="1">
        <v>125.28</v>
      </c>
      <c r="T299" s="1">
        <v>123.03999999999999</v>
      </c>
      <c r="U299" s="1">
        <v>119.24000000000001</v>
      </c>
      <c r="V299" s="1">
        <v>122.46</v>
      </c>
      <c r="W299" s="1">
        <v>117.56666666666666</v>
      </c>
      <c r="X299" s="1">
        <v>116.46</v>
      </c>
      <c r="Y299" s="1">
        <v>118.30000000000003</v>
      </c>
      <c r="Z299" s="1">
        <v>115.52000000000001</v>
      </c>
      <c r="AA299" s="1">
        <v>109.2</v>
      </c>
      <c r="AB299" s="1">
        <v>114.52000000000001</v>
      </c>
      <c r="AC299" s="1">
        <v>119.55999999999999</v>
      </c>
      <c r="AD299" s="1">
        <v>110.96000000000001</v>
      </c>
      <c r="AE299" s="1">
        <v>114.02000000000001</v>
      </c>
      <c r="AF299" s="1">
        <v>119.52000000000001</v>
      </c>
      <c r="AG299" s="1">
        <f t="shared" si="29"/>
        <v>1570.8000000000002</v>
      </c>
      <c r="AH299" s="1">
        <f t="shared" si="30"/>
        <v>125.28</v>
      </c>
      <c r="AI299" s="1">
        <f t="shared" si="31"/>
        <v>364.74</v>
      </c>
      <c r="AJ299" s="1">
        <f t="shared" si="32"/>
        <v>117.56666666666666</v>
      </c>
      <c r="AK299" s="1">
        <f t="shared" si="33"/>
        <v>116.46</v>
      </c>
      <c r="AL299" s="1">
        <f t="shared" si="34"/>
        <v>802.08</v>
      </c>
    </row>
    <row r="300" spans="1:38" x14ac:dyDescent="0.3">
      <c r="A300" t="s">
        <v>30</v>
      </c>
      <c r="B300" s="1">
        <v>2015</v>
      </c>
      <c r="C300" t="s">
        <v>29</v>
      </c>
      <c r="D300" t="str">
        <f t="shared" si="28"/>
        <v>2015-January</v>
      </c>
      <c r="E300" s="1">
        <v>1</v>
      </c>
      <c r="F300" s="1">
        <v>123.76</v>
      </c>
      <c r="G300" s="1">
        <v>125.08</v>
      </c>
      <c r="H300" s="1">
        <v>122.62</v>
      </c>
      <c r="I300" s="1">
        <v>125.46</v>
      </c>
      <c r="J300" s="1">
        <v>107.66</v>
      </c>
      <c r="K300" s="1">
        <v>124.86</v>
      </c>
      <c r="L300" s="1">
        <v>131.36000000000001</v>
      </c>
      <c r="M300" s="1">
        <v>121.36</v>
      </c>
      <c r="N300" s="1">
        <v>97.68</v>
      </c>
      <c r="O300" s="1">
        <v>122.96</v>
      </c>
      <c r="P300" s="1">
        <v>117.48000000000002</v>
      </c>
      <c r="Q300" s="1">
        <v>127.54</v>
      </c>
      <c r="R300" s="1">
        <v>123.23999999999998</v>
      </c>
      <c r="S300" s="1">
        <v>125.78000000000002</v>
      </c>
      <c r="T300" s="1">
        <v>122.92</v>
      </c>
      <c r="U300" s="1">
        <v>118.93999999999998</v>
      </c>
      <c r="V300" s="1">
        <v>122.31999999999998</v>
      </c>
      <c r="W300" s="1">
        <v>117.69999999999999</v>
      </c>
      <c r="X300" s="1">
        <v>116.32000000000001</v>
      </c>
      <c r="Y300" s="1">
        <v>118.25999999999999</v>
      </c>
      <c r="Z300" s="1">
        <v>115.46</v>
      </c>
      <c r="AA300" s="1">
        <v>108.74000000000001</v>
      </c>
      <c r="AB300" s="1">
        <v>114.7</v>
      </c>
      <c r="AC300" s="1">
        <v>119.86000000000001</v>
      </c>
      <c r="AD300" s="1">
        <v>111.16000000000001</v>
      </c>
      <c r="AE300" s="1">
        <v>113.93999999999998</v>
      </c>
      <c r="AF300" s="1">
        <v>119.4</v>
      </c>
      <c r="AG300" s="1">
        <f t="shared" si="29"/>
        <v>1571.0600000000002</v>
      </c>
      <c r="AH300" s="1">
        <f t="shared" si="30"/>
        <v>125.78000000000002</v>
      </c>
      <c r="AI300" s="1">
        <f t="shared" si="31"/>
        <v>364.17999999999995</v>
      </c>
      <c r="AJ300" s="1">
        <f t="shared" si="32"/>
        <v>117.69999999999999</v>
      </c>
      <c r="AK300" s="1">
        <f t="shared" si="33"/>
        <v>116.32000000000001</v>
      </c>
      <c r="AL300" s="1">
        <f t="shared" si="34"/>
        <v>802.11999999999989</v>
      </c>
    </row>
    <row r="301" spans="1:38" x14ac:dyDescent="0.3">
      <c r="A301" t="s">
        <v>31</v>
      </c>
      <c r="B301" s="1">
        <v>2015</v>
      </c>
      <c r="C301" t="s">
        <v>29</v>
      </c>
      <c r="D301" t="str">
        <f t="shared" si="28"/>
        <v>2015-January</v>
      </c>
      <c r="E301" s="1">
        <v>1</v>
      </c>
      <c r="F301" s="1">
        <v>123.62</v>
      </c>
      <c r="G301" s="1">
        <v>124.92</v>
      </c>
      <c r="H301" s="1">
        <v>121.08</v>
      </c>
      <c r="I301" s="1">
        <v>125.62</v>
      </c>
      <c r="J301" s="1">
        <v>109.16</v>
      </c>
      <c r="K301" s="1">
        <v>126.78</v>
      </c>
      <c r="L301" s="1">
        <v>130.08000000000001</v>
      </c>
      <c r="M301" s="1">
        <v>120.76</v>
      </c>
      <c r="N301" s="1">
        <v>98.24</v>
      </c>
      <c r="O301" s="1">
        <v>121.51999999999998</v>
      </c>
      <c r="P301" s="1">
        <v>117.96</v>
      </c>
      <c r="Q301" s="1">
        <v>127.48000000000002</v>
      </c>
      <c r="R301" s="1">
        <v>123.16</v>
      </c>
      <c r="S301" s="1">
        <v>125.23999999999998</v>
      </c>
      <c r="T301" s="1">
        <v>123.92</v>
      </c>
      <c r="U301" s="1">
        <v>120.3</v>
      </c>
      <c r="V301" s="1">
        <v>123.38000000000002</v>
      </c>
      <c r="W301" s="1">
        <v>117.83333333333333</v>
      </c>
      <c r="X301" s="1">
        <v>117.75999999999999</v>
      </c>
      <c r="Y301" s="1">
        <v>118.85999999999999</v>
      </c>
      <c r="Z301" s="1">
        <v>116.35999999999999</v>
      </c>
      <c r="AA301" s="1">
        <v>109.47999999999999</v>
      </c>
      <c r="AB301" s="1">
        <v>114.88</v>
      </c>
      <c r="AC301" s="1">
        <v>119.58</v>
      </c>
      <c r="AD301" s="1">
        <v>111.03999999999999</v>
      </c>
      <c r="AE301" s="1">
        <v>114.35999999999999</v>
      </c>
      <c r="AF301" s="1">
        <v>119.92</v>
      </c>
      <c r="AG301" s="1">
        <f t="shared" si="29"/>
        <v>1570.38</v>
      </c>
      <c r="AH301" s="1">
        <f t="shared" si="30"/>
        <v>125.23999999999998</v>
      </c>
      <c r="AI301" s="1">
        <f t="shared" si="31"/>
        <v>367.6</v>
      </c>
      <c r="AJ301" s="1">
        <f t="shared" si="32"/>
        <v>117.83333333333333</v>
      </c>
      <c r="AK301" s="1">
        <f t="shared" si="33"/>
        <v>117.75999999999999</v>
      </c>
      <c r="AL301" s="1">
        <f t="shared" si="34"/>
        <v>804.56</v>
      </c>
    </row>
    <row r="302" spans="1:38" x14ac:dyDescent="0.3">
      <c r="A302" t="s">
        <v>28</v>
      </c>
      <c r="B302" s="1">
        <v>2014</v>
      </c>
      <c r="C302" t="s">
        <v>43</v>
      </c>
      <c r="D302" t="str">
        <f t="shared" si="28"/>
        <v>2014-December</v>
      </c>
      <c r="E302" s="1">
        <v>12</v>
      </c>
      <c r="F302" s="1">
        <v>123.28</v>
      </c>
      <c r="G302" s="1">
        <v>123.78</v>
      </c>
      <c r="H302" s="1">
        <v>124.06</v>
      </c>
      <c r="I302" s="1">
        <v>124.74</v>
      </c>
      <c r="J302" s="1">
        <v>107.22</v>
      </c>
      <c r="K302" s="1">
        <v>125.66</v>
      </c>
      <c r="L302" s="1">
        <v>137.69999999999999</v>
      </c>
      <c r="M302" s="1">
        <v>118.82</v>
      </c>
      <c r="N302" s="1">
        <v>99.4</v>
      </c>
      <c r="O302" s="1">
        <v>120.85999999999999</v>
      </c>
      <c r="P302" s="1">
        <v>116.92</v>
      </c>
      <c r="Q302" s="1">
        <v>126.42</v>
      </c>
      <c r="R302" s="1">
        <v>123.44000000000001</v>
      </c>
      <c r="S302" s="1">
        <v>124.24000000000001</v>
      </c>
      <c r="T302" s="1">
        <v>122.5</v>
      </c>
      <c r="U302" s="1">
        <v>118.54</v>
      </c>
      <c r="V302" s="1">
        <v>121.9</v>
      </c>
      <c r="W302" s="1">
        <v>116.76666666666667</v>
      </c>
      <c r="X302" s="1">
        <v>115.58</v>
      </c>
      <c r="Y302" s="1">
        <v>117.72</v>
      </c>
      <c r="Z302" s="1">
        <v>114.96000000000001</v>
      </c>
      <c r="AA302" s="1">
        <v>109.85999999999999</v>
      </c>
      <c r="AB302" s="1">
        <v>114.02000000000001</v>
      </c>
      <c r="AC302" s="1">
        <v>119.38</v>
      </c>
      <c r="AD302" s="1">
        <v>110.24000000000001</v>
      </c>
      <c r="AE302" s="1">
        <v>113.86000000000001</v>
      </c>
      <c r="AF302" s="1">
        <v>119.38000000000002</v>
      </c>
      <c r="AG302" s="1">
        <f t="shared" si="29"/>
        <v>1572.3000000000002</v>
      </c>
      <c r="AH302" s="1">
        <f t="shared" si="30"/>
        <v>124.24000000000001</v>
      </c>
      <c r="AI302" s="1">
        <f t="shared" si="31"/>
        <v>362.94000000000005</v>
      </c>
      <c r="AJ302" s="1">
        <f t="shared" si="32"/>
        <v>116.76666666666667</v>
      </c>
      <c r="AK302" s="1">
        <f t="shared" si="33"/>
        <v>115.58</v>
      </c>
      <c r="AL302" s="1">
        <f t="shared" si="34"/>
        <v>800.04</v>
      </c>
    </row>
    <row r="303" spans="1:38" x14ac:dyDescent="0.3">
      <c r="A303" t="s">
        <v>30</v>
      </c>
      <c r="B303" s="1">
        <v>2014</v>
      </c>
      <c r="C303" t="s">
        <v>43</v>
      </c>
      <c r="D303" t="str">
        <f t="shared" si="28"/>
        <v>2014-December</v>
      </c>
      <c r="E303" s="1">
        <v>12</v>
      </c>
      <c r="F303" s="1">
        <v>123.48</v>
      </c>
      <c r="G303" s="1">
        <v>124.08</v>
      </c>
      <c r="H303" s="1">
        <v>124.46</v>
      </c>
      <c r="I303" s="1">
        <v>124.9</v>
      </c>
      <c r="J303" s="1">
        <v>106.88</v>
      </c>
      <c r="K303" s="1">
        <v>125.18</v>
      </c>
      <c r="L303" s="1">
        <v>136.24</v>
      </c>
      <c r="M303" s="1">
        <v>119.38</v>
      </c>
      <c r="N303" s="1">
        <v>98.8</v>
      </c>
      <c r="O303" s="1">
        <v>121.71999999999998</v>
      </c>
      <c r="P303" s="1">
        <v>116.91999999999999</v>
      </c>
      <c r="Q303" s="1">
        <v>126.8</v>
      </c>
      <c r="R303" s="1">
        <v>123.4</v>
      </c>
      <c r="S303" s="1">
        <v>124.7</v>
      </c>
      <c r="T303" s="1">
        <v>122.36000000000001</v>
      </c>
      <c r="U303" s="1">
        <v>118.28</v>
      </c>
      <c r="V303" s="1">
        <v>121.74000000000001</v>
      </c>
      <c r="W303" s="1">
        <v>116.9</v>
      </c>
      <c r="X303" s="1">
        <v>115.4</v>
      </c>
      <c r="Y303" s="1">
        <v>117.7</v>
      </c>
      <c r="Z303" s="1">
        <v>114.81999999999998</v>
      </c>
      <c r="AA303" s="1">
        <v>109.43999999999998</v>
      </c>
      <c r="AB303" s="1">
        <v>114.21999999999998</v>
      </c>
      <c r="AC303" s="1">
        <v>119.78</v>
      </c>
      <c r="AD303" s="1">
        <v>110.5</v>
      </c>
      <c r="AE303" s="1">
        <v>113.82000000000001</v>
      </c>
      <c r="AF303" s="1">
        <v>119.22</v>
      </c>
      <c r="AG303" s="1">
        <f t="shared" si="29"/>
        <v>1572.2400000000002</v>
      </c>
      <c r="AH303" s="1">
        <f t="shared" si="30"/>
        <v>124.7</v>
      </c>
      <c r="AI303" s="1">
        <f t="shared" si="31"/>
        <v>362.38</v>
      </c>
      <c r="AJ303" s="1">
        <f t="shared" si="32"/>
        <v>116.9</v>
      </c>
      <c r="AK303" s="1">
        <f t="shared" si="33"/>
        <v>115.4</v>
      </c>
      <c r="AL303" s="1">
        <f t="shared" si="34"/>
        <v>800.28</v>
      </c>
    </row>
    <row r="304" spans="1:38" x14ac:dyDescent="0.3">
      <c r="A304" t="s">
        <v>31</v>
      </c>
      <c r="B304" s="1">
        <v>2014</v>
      </c>
      <c r="C304" t="s">
        <v>43</v>
      </c>
      <c r="D304" t="str">
        <f t="shared" si="28"/>
        <v>2014-December</v>
      </c>
      <c r="E304" s="1">
        <v>12</v>
      </c>
      <c r="F304" s="1">
        <v>123.36</v>
      </c>
      <c r="G304" s="1">
        <v>124.02</v>
      </c>
      <c r="H304" s="1">
        <v>123.62</v>
      </c>
      <c r="I304" s="1">
        <v>125.08</v>
      </c>
      <c r="J304" s="1">
        <v>108.58</v>
      </c>
      <c r="K304" s="1">
        <v>126.6</v>
      </c>
      <c r="L304" s="1">
        <v>133.68</v>
      </c>
      <c r="M304" s="1">
        <v>119.12</v>
      </c>
      <c r="N304" s="1">
        <v>99.24</v>
      </c>
      <c r="O304" s="1">
        <v>120.35999999999999</v>
      </c>
      <c r="P304" s="1">
        <v>117.46</v>
      </c>
      <c r="Q304" s="1">
        <v>126.63999999999999</v>
      </c>
      <c r="R304" s="1">
        <v>123.16</v>
      </c>
      <c r="S304" s="1">
        <v>124.26000000000002</v>
      </c>
      <c r="T304" s="1">
        <v>123.3</v>
      </c>
      <c r="U304" s="1">
        <v>119.66</v>
      </c>
      <c r="V304" s="1">
        <v>122.74000000000001</v>
      </c>
      <c r="W304" s="1">
        <v>117.03333333333335</v>
      </c>
      <c r="X304" s="1">
        <v>116.8</v>
      </c>
      <c r="Y304" s="1">
        <v>118.26000000000002</v>
      </c>
      <c r="Z304" s="1">
        <v>115.72</v>
      </c>
      <c r="AA304" s="1">
        <v>109.85999999999999</v>
      </c>
      <c r="AB304" s="1">
        <v>114.32000000000001</v>
      </c>
      <c r="AC304" s="1">
        <v>119.38</v>
      </c>
      <c r="AD304" s="1">
        <v>110.58</v>
      </c>
      <c r="AE304" s="1">
        <v>114.14000000000001</v>
      </c>
      <c r="AF304" s="1">
        <v>119.66</v>
      </c>
      <c r="AG304" s="1">
        <f t="shared" si="29"/>
        <v>1570.9199999999998</v>
      </c>
      <c r="AH304" s="1">
        <f t="shared" si="30"/>
        <v>124.26000000000002</v>
      </c>
      <c r="AI304" s="1">
        <f t="shared" si="31"/>
        <v>365.7</v>
      </c>
      <c r="AJ304" s="1">
        <f t="shared" si="32"/>
        <v>117.03333333333335</v>
      </c>
      <c r="AK304" s="1">
        <f t="shared" si="33"/>
        <v>116.8</v>
      </c>
      <c r="AL304" s="1">
        <f t="shared" si="34"/>
        <v>802.26</v>
      </c>
    </row>
    <row r="305" spans="1:38" x14ac:dyDescent="0.3">
      <c r="A305" t="s">
        <v>28</v>
      </c>
      <c r="B305" s="1">
        <v>2014</v>
      </c>
      <c r="C305" t="s">
        <v>42</v>
      </c>
      <c r="D305" t="str">
        <f t="shared" si="28"/>
        <v>2014-November</v>
      </c>
      <c r="E305" s="1">
        <v>11</v>
      </c>
      <c r="F305" s="1">
        <v>123.38</v>
      </c>
      <c r="G305" s="1">
        <v>123.8</v>
      </c>
      <c r="H305" s="1">
        <v>122.34</v>
      </c>
      <c r="I305" s="1">
        <v>124.38</v>
      </c>
      <c r="J305" s="1">
        <v>106.94</v>
      </c>
      <c r="K305" s="1">
        <v>125.52</v>
      </c>
      <c r="L305" s="1">
        <v>147.78</v>
      </c>
      <c r="M305" s="1">
        <v>117.82</v>
      </c>
      <c r="N305" s="1">
        <v>101</v>
      </c>
      <c r="O305" s="1">
        <v>120.1</v>
      </c>
      <c r="P305" s="1">
        <v>116.47999999999999</v>
      </c>
      <c r="Q305" s="1">
        <v>125.88</v>
      </c>
      <c r="R305" s="1">
        <v>124.54</v>
      </c>
      <c r="S305" s="1">
        <v>123.35999999999999</v>
      </c>
      <c r="T305" s="1">
        <v>122.04</v>
      </c>
      <c r="U305" s="1">
        <v>118.13999999999999</v>
      </c>
      <c r="V305" s="1">
        <v>121.46</v>
      </c>
      <c r="W305" s="1">
        <v>116.89999999999999</v>
      </c>
      <c r="X305" s="1">
        <v>115.16</v>
      </c>
      <c r="Y305" s="1">
        <v>117.35999999999999</v>
      </c>
      <c r="Z305" s="1">
        <v>114.62</v>
      </c>
      <c r="AA305" s="1">
        <v>110.55999999999999</v>
      </c>
      <c r="AB305" s="1">
        <v>113.72</v>
      </c>
      <c r="AC305" s="1">
        <v>118.97999999999999</v>
      </c>
      <c r="AD305" s="1">
        <v>109.46</v>
      </c>
      <c r="AE305" s="1">
        <v>113.78</v>
      </c>
      <c r="AF305" s="1">
        <v>119.78</v>
      </c>
      <c r="AG305" s="1">
        <f t="shared" si="29"/>
        <v>1579.9599999999996</v>
      </c>
      <c r="AH305" s="1">
        <f t="shared" si="30"/>
        <v>123.35999999999999</v>
      </c>
      <c r="AI305" s="1">
        <f t="shared" si="31"/>
        <v>361.64</v>
      </c>
      <c r="AJ305" s="1">
        <f t="shared" si="32"/>
        <v>116.89999999999999</v>
      </c>
      <c r="AK305" s="1">
        <f t="shared" si="33"/>
        <v>115.16</v>
      </c>
      <c r="AL305" s="1">
        <f t="shared" si="34"/>
        <v>798.48</v>
      </c>
    </row>
    <row r="306" spans="1:38" x14ac:dyDescent="0.3">
      <c r="A306" t="s">
        <v>30</v>
      </c>
      <c r="B306" s="1">
        <v>2014</v>
      </c>
      <c r="C306" t="s">
        <v>42</v>
      </c>
      <c r="D306" t="str">
        <f t="shared" si="28"/>
        <v>2014-November</v>
      </c>
      <c r="E306" s="1">
        <v>11</v>
      </c>
      <c r="F306" s="1">
        <v>123.42</v>
      </c>
      <c r="G306" s="1">
        <v>123.92</v>
      </c>
      <c r="H306" s="1">
        <v>123.06</v>
      </c>
      <c r="I306" s="1">
        <v>124.48</v>
      </c>
      <c r="J306" s="1">
        <v>106.36</v>
      </c>
      <c r="K306" s="1">
        <v>124.9</v>
      </c>
      <c r="L306" s="1">
        <v>145.47999999999999</v>
      </c>
      <c r="M306" s="1">
        <v>118.1</v>
      </c>
      <c r="N306" s="1">
        <v>100.46</v>
      </c>
      <c r="O306" s="1">
        <v>120.76000000000002</v>
      </c>
      <c r="P306" s="1">
        <v>116.47999999999999</v>
      </c>
      <c r="Q306" s="1">
        <v>126.2</v>
      </c>
      <c r="R306" s="1">
        <v>124.28</v>
      </c>
      <c r="S306" s="1">
        <v>123.8</v>
      </c>
      <c r="T306" s="1">
        <v>121.9</v>
      </c>
      <c r="U306" s="1">
        <v>117.75999999999999</v>
      </c>
      <c r="V306" s="1">
        <v>121.28</v>
      </c>
      <c r="W306" s="1">
        <v>116.8</v>
      </c>
      <c r="X306" s="1">
        <v>114.84</v>
      </c>
      <c r="Y306" s="1">
        <v>117.24000000000001</v>
      </c>
      <c r="Z306" s="1">
        <v>114.46</v>
      </c>
      <c r="AA306" s="1">
        <v>110.17999999999999</v>
      </c>
      <c r="AB306" s="1">
        <v>113.84</v>
      </c>
      <c r="AC306" s="1">
        <v>119.44000000000001</v>
      </c>
      <c r="AD306" s="1">
        <v>109.66</v>
      </c>
      <c r="AE306" s="1">
        <v>113.71999999999998</v>
      </c>
      <c r="AF306" s="1">
        <v>119.43999999999998</v>
      </c>
      <c r="AG306" s="1">
        <f t="shared" si="29"/>
        <v>1577.9</v>
      </c>
      <c r="AH306" s="1">
        <f t="shared" si="30"/>
        <v>123.8</v>
      </c>
      <c r="AI306" s="1">
        <f t="shared" si="31"/>
        <v>360.94</v>
      </c>
      <c r="AJ306" s="1">
        <f t="shared" si="32"/>
        <v>116.8</v>
      </c>
      <c r="AK306" s="1">
        <f t="shared" si="33"/>
        <v>114.84</v>
      </c>
      <c r="AL306" s="1">
        <f t="shared" si="34"/>
        <v>798.54000000000008</v>
      </c>
    </row>
    <row r="307" spans="1:38" x14ac:dyDescent="0.3">
      <c r="A307" t="s">
        <v>31</v>
      </c>
      <c r="B307" s="1">
        <v>2014</v>
      </c>
      <c r="C307" t="s">
        <v>42</v>
      </c>
      <c r="D307" t="str">
        <f t="shared" si="28"/>
        <v>2014-November</v>
      </c>
      <c r="E307" s="1">
        <v>11</v>
      </c>
      <c r="F307" s="1">
        <v>123.14</v>
      </c>
      <c r="G307" s="1">
        <v>123.42</v>
      </c>
      <c r="H307" s="1">
        <v>122.94</v>
      </c>
      <c r="I307" s="1">
        <v>124.54</v>
      </c>
      <c r="J307" s="1">
        <v>107.92</v>
      </c>
      <c r="K307" s="1">
        <v>126.54</v>
      </c>
      <c r="L307" s="1">
        <v>141.30000000000001</v>
      </c>
      <c r="M307" s="1">
        <v>117.68</v>
      </c>
      <c r="N307" s="1">
        <v>100.6</v>
      </c>
      <c r="O307" s="1">
        <v>119.28000000000002</v>
      </c>
      <c r="P307" s="1">
        <v>116.9</v>
      </c>
      <c r="Q307" s="1">
        <v>125.94000000000001</v>
      </c>
      <c r="R307" s="1">
        <v>123.75999999999999</v>
      </c>
      <c r="S307" s="1">
        <v>123.18000000000002</v>
      </c>
      <c r="T307" s="1">
        <v>122.71999999999998</v>
      </c>
      <c r="U307" s="1">
        <v>119</v>
      </c>
      <c r="V307" s="1">
        <v>122.17999999999999</v>
      </c>
      <c r="W307" s="1">
        <v>116.7</v>
      </c>
      <c r="X307" s="1">
        <v>116</v>
      </c>
      <c r="Y307" s="1">
        <v>117.74000000000001</v>
      </c>
      <c r="Z307" s="1">
        <v>115.17999999999999</v>
      </c>
      <c r="AA307" s="1">
        <v>110.44000000000001</v>
      </c>
      <c r="AB307" s="1">
        <v>113.84</v>
      </c>
      <c r="AC307" s="1">
        <v>119.02000000000001</v>
      </c>
      <c r="AD307" s="1">
        <v>109.78</v>
      </c>
      <c r="AE307" s="1">
        <v>113.94000000000001</v>
      </c>
      <c r="AF307" s="1">
        <v>119.69999999999997</v>
      </c>
      <c r="AG307" s="1">
        <f t="shared" si="29"/>
        <v>1573.96</v>
      </c>
      <c r="AH307" s="1">
        <f t="shared" si="30"/>
        <v>123.18000000000002</v>
      </c>
      <c r="AI307" s="1">
        <f t="shared" si="31"/>
        <v>363.9</v>
      </c>
      <c r="AJ307" s="1">
        <f t="shared" si="32"/>
        <v>116.7</v>
      </c>
      <c r="AK307" s="1">
        <f t="shared" si="33"/>
        <v>116</v>
      </c>
      <c r="AL307" s="1">
        <f t="shared" si="34"/>
        <v>799.94</v>
      </c>
    </row>
    <row r="308" spans="1:38" x14ac:dyDescent="0.3">
      <c r="A308" t="s">
        <v>28</v>
      </c>
      <c r="B308" s="1">
        <v>2014</v>
      </c>
      <c r="C308" t="s">
        <v>40</v>
      </c>
      <c r="D308" t="str">
        <f t="shared" si="28"/>
        <v>2014-October</v>
      </c>
      <c r="E308" s="1">
        <v>10</v>
      </c>
      <c r="F308" s="1">
        <v>123.52</v>
      </c>
      <c r="G308" s="1">
        <v>124.12</v>
      </c>
      <c r="H308" s="1">
        <v>119.36</v>
      </c>
      <c r="I308" s="1">
        <v>123.62</v>
      </c>
      <c r="J308" s="1">
        <v>107.12</v>
      </c>
      <c r="K308" s="1">
        <v>125.96</v>
      </c>
      <c r="L308" s="1">
        <v>155.38</v>
      </c>
      <c r="M308" s="1">
        <v>116.9</v>
      </c>
      <c r="N308" s="1">
        <v>102.28</v>
      </c>
      <c r="O308" s="1">
        <v>119.52000000000001</v>
      </c>
      <c r="P308" s="1">
        <v>116.14000000000001</v>
      </c>
      <c r="Q308" s="1">
        <v>125</v>
      </c>
      <c r="R308" s="1">
        <v>125.31999999999998</v>
      </c>
      <c r="S308" s="1">
        <v>122.4</v>
      </c>
      <c r="T308" s="1">
        <v>121.47999999999999</v>
      </c>
      <c r="U308" s="1">
        <v>117.83999999999999</v>
      </c>
      <c r="V308" s="1">
        <v>120.92</v>
      </c>
      <c r="W308" s="1">
        <v>116.83333333333333</v>
      </c>
      <c r="X308" s="1">
        <v>114.6</v>
      </c>
      <c r="Y308" s="1">
        <v>116.9</v>
      </c>
      <c r="Z308" s="1">
        <v>114.22</v>
      </c>
      <c r="AA308" s="1">
        <v>111.42</v>
      </c>
      <c r="AB308" s="1">
        <v>113.44000000000001</v>
      </c>
      <c r="AC308" s="1">
        <v>118.67999999999999</v>
      </c>
      <c r="AD308" s="1">
        <v>109.47999999999999</v>
      </c>
      <c r="AE308" s="1">
        <v>113.82000000000001</v>
      </c>
      <c r="AF308" s="1">
        <v>120.05999999999999</v>
      </c>
      <c r="AG308" s="1">
        <f t="shared" si="29"/>
        <v>1584.24</v>
      </c>
      <c r="AH308" s="1">
        <f t="shared" si="30"/>
        <v>122.4</v>
      </c>
      <c r="AI308" s="1">
        <f t="shared" si="31"/>
        <v>360.24</v>
      </c>
      <c r="AJ308" s="1">
        <f t="shared" si="32"/>
        <v>116.83333333333333</v>
      </c>
      <c r="AK308" s="1">
        <f t="shared" si="33"/>
        <v>114.6</v>
      </c>
      <c r="AL308" s="1">
        <f t="shared" si="34"/>
        <v>797.96</v>
      </c>
    </row>
    <row r="309" spans="1:38" x14ac:dyDescent="0.3">
      <c r="A309" t="s">
        <v>30</v>
      </c>
      <c r="B309" s="1">
        <v>2014</v>
      </c>
      <c r="C309" t="s">
        <v>40</v>
      </c>
      <c r="D309" t="str">
        <f t="shared" si="28"/>
        <v>2014-October</v>
      </c>
      <c r="E309" s="1">
        <v>10</v>
      </c>
      <c r="F309" s="1">
        <v>123.66</v>
      </c>
      <c r="G309" s="1">
        <v>124.36</v>
      </c>
      <c r="H309" s="1">
        <v>119.9</v>
      </c>
      <c r="I309" s="1">
        <v>123.82</v>
      </c>
      <c r="J309" s="1">
        <v>106.58</v>
      </c>
      <c r="K309" s="1">
        <v>125.32</v>
      </c>
      <c r="L309" s="1">
        <v>154.80000000000001</v>
      </c>
      <c r="M309" s="1">
        <v>117.24</v>
      </c>
      <c r="N309" s="1">
        <v>101.9</v>
      </c>
      <c r="O309" s="1">
        <v>120.2</v>
      </c>
      <c r="P309" s="1">
        <v>116.06000000000002</v>
      </c>
      <c r="Q309" s="1">
        <v>125.47999999999999</v>
      </c>
      <c r="R309" s="1">
        <v>125.32000000000001</v>
      </c>
      <c r="S309" s="1">
        <v>122.82000000000001</v>
      </c>
      <c r="T309" s="1">
        <v>121.35999999999999</v>
      </c>
      <c r="U309" s="1">
        <v>117.46</v>
      </c>
      <c r="V309" s="1">
        <v>120.78</v>
      </c>
      <c r="W309" s="1">
        <v>116.9</v>
      </c>
      <c r="X309" s="1">
        <v>114.42</v>
      </c>
      <c r="Y309" s="1">
        <v>116.85999999999999</v>
      </c>
      <c r="Z309" s="1">
        <v>114.11999999999998</v>
      </c>
      <c r="AA309" s="1">
        <v>111.05999999999999</v>
      </c>
      <c r="AB309" s="1">
        <v>113.58</v>
      </c>
      <c r="AC309" s="1">
        <v>119.1</v>
      </c>
      <c r="AD309" s="1">
        <v>109.44000000000001</v>
      </c>
      <c r="AE309" s="1">
        <v>113.78</v>
      </c>
      <c r="AF309" s="1">
        <v>119.88</v>
      </c>
      <c r="AG309" s="1">
        <f t="shared" si="29"/>
        <v>1584.6399999999999</v>
      </c>
      <c r="AH309" s="1">
        <f t="shared" si="30"/>
        <v>122.82000000000001</v>
      </c>
      <c r="AI309" s="1">
        <f t="shared" si="31"/>
        <v>359.6</v>
      </c>
      <c r="AJ309" s="1">
        <f t="shared" si="32"/>
        <v>116.9</v>
      </c>
      <c r="AK309" s="1">
        <f t="shared" si="33"/>
        <v>114.42</v>
      </c>
      <c r="AL309" s="1">
        <f t="shared" si="34"/>
        <v>797.93999999999994</v>
      </c>
    </row>
    <row r="310" spans="1:38" x14ac:dyDescent="0.3">
      <c r="A310" t="s">
        <v>31</v>
      </c>
      <c r="B310" s="1">
        <v>2014</v>
      </c>
      <c r="C310" t="s">
        <v>40</v>
      </c>
      <c r="D310" t="str">
        <f t="shared" si="28"/>
        <v>2014-October</v>
      </c>
      <c r="E310" s="1">
        <v>10</v>
      </c>
      <c r="F310" s="1">
        <v>123.22</v>
      </c>
      <c r="G310" s="1">
        <v>123.62</v>
      </c>
      <c r="H310" s="1">
        <v>120.7</v>
      </c>
      <c r="I310" s="1">
        <v>124.04</v>
      </c>
      <c r="J310" s="1">
        <v>107.92</v>
      </c>
      <c r="K310" s="1">
        <v>126.34</v>
      </c>
      <c r="L310" s="1">
        <v>150.94</v>
      </c>
      <c r="M310" s="1">
        <v>117.02</v>
      </c>
      <c r="N310" s="1">
        <v>102.06</v>
      </c>
      <c r="O310" s="1">
        <v>118.64000000000001</v>
      </c>
      <c r="P310" s="1">
        <v>116.47999999999999</v>
      </c>
      <c r="Q310" s="1">
        <v>125.25999999999999</v>
      </c>
      <c r="R310" s="1">
        <v>124.82000000000001</v>
      </c>
      <c r="S310" s="1">
        <v>122.3</v>
      </c>
      <c r="T310" s="1">
        <v>122.2</v>
      </c>
      <c r="U310" s="1">
        <v>118.6</v>
      </c>
      <c r="V310" s="1">
        <v>121.66</v>
      </c>
      <c r="W310" s="1">
        <v>116.96666666666665</v>
      </c>
      <c r="X310" s="1">
        <v>115.5</v>
      </c>
      <c r="Y310" s="1">
        <v>117.34</v>
      </c>
      <c r="Z310" s="1">
        <v>114.84</v>
      </c>
      <c r="AA310" s="1">
        <v>111.16</v>
      </c>
      <c r="AB310" s="1">
        <v>113.52000000000001</v>
      </c>
      <c r="AC310" s="1">
        <v>118.6</v>
      </c>
      <c r="AD310" s="1">
        <v>109.3</v>
      </c>
      <c r="AE310" s="1">
        <v>113.88</v>
      </c>
      <c r="AF310" s="1">
        <v>120.11999999999998</v>
      </c>
      <c r="AG310" s="1">
        <f t="shared" si="29"/>
        <v>1581.06</v>
      </c>
      <c r="AH310" s="1">
        <f t="shared" si="30"/>
        <v>122.3</v>
      </c>
      <c r="AI310" s="1">
        <f t="shared" si="31"/>
        <v>362.46000000000004</v>
      </c>
      <c r="AJ310" s="1">
        <f t="shared" si="32"/>
        <v>116.96666666666665</v>
      </c>
      <c r="AK310" s="1">
        <f t="shared" si="33"/>
        <v>115.5</v>
      </c>
      <c r="AL310" s="1">
        <f t="shared" si="34"/>
        <v>798.64</v>
      </c>
    </row>
    <row r="311" spans="1:38" x14ac:dyDescent="0.3">
      <c r="A311" t="s">
        <v>28</v>
      </c>
      <c r="B311" s="1">
        <v>2014</v>
      </c>
      <c r="C311" t="s">
        <v>39</v>
      </c>
      <c r="D311" t="str">
        <f t="shared" si="28"/>
        <v>2014-September</v>
      </c>
      <c r="E311" s="1">
        <v>9</v>
      </c>
      <c r="F311" s="1">
        <v>123.32</v>
      </c>
      <c r="G311" s="1">
        <v>123.98</v>
      </c>
      <c r="H311" s="1">
        <v>117.52</v>
      </c>
      <c r="I311" s="1">
        <v>122.88</v>
      </c>
      <c r="J311" s="1">
        <v>107.16</v>
      </c>
      <c r="K311" s="1">
        <v>126.8</v>
      </c>
      <c r="L311" s="1">
        <v>160.88</v>
      </c>
      <c r="M311" s="1">
        <v>116.08</v>
      </c>
      <c r="N311" s="1">
        <v>103.12</v>
      </c>
      <c r="O311" s="1">
        <v>118.9</v>
      </c>
      <c r="P311" s="1">
        <v>115.82000000000001</v>
      </c>
      <c r="Q311" s="1">
        <v>124.14000000000001</v>
      </c>
      <c r="R311" s="1">
        <v>125.73999999999998</v>
      </c>
      <c r="S311" s="1">
        <v>121.78</v>
      </c>
      <c r="T311" s="1">
        <v>120.78</v>
      </c>
      <c r="U311" s="1">
        <v>117.22</v>
      </c>
      <c r="V311" s="1">
        <v>120.2</v>
      </c>
      <c r="W311" s="1">
        <v>116.3</v>
      </c>
      <c r="X311" s="1">
        <v>114.05999999999999</v>
      </c>
      <c r="Y311" s="1">
        <v>116.31999999999998</v>
      </c>
      <c r="Z311" s="1">
        <v>113.67999999999999</v>
      </c>
      <c r="AA311" s="1">
        <v>111.92</v>
      </c>
      <c r="AB311" s="1">
        <v>113.14000000000001</v>
      </c>
      <c r="AC311" s="1">
        <v>118.46000000000001</v>
      </c>
      <c r="AD311" s="1">
        <v>109.6</v>
      </c>
      <c r="AE311" s="1">
        <v>113.74000000000001</v>
      </c>
      <c r="AF311" s="1">
        <v>120.06000000000002</v>
      </c>
      <c r="AG311" s="1">
        <f t="shared" si="29"/>
        <v>1586.3400000000001</v>
      </c>
      <c r="AH311" s="1">
        <f t="shared" si="30"/>
        <v>121.78</v>
      </c>
      <c r="AI311" s="1">
        <f t="shared" si="31"/>
        <v>358.2</v>
      </c>
      <c r="AJ311" s="1">
        <f t="shared" si="32"/>
        <v>116.3</v>
      </c>
      <c r="AK311" s="1">
        <f t="shared" si="33"/>
        <v>114.05999999999999</v>
      </c>
      <c r="AL311" s="1">
        <f t="shared" si="34"/>
        <v>796.86</v>
      </c>
    </row>
    <row r="312" spans="1:38" x14ac:dyDescent="0.3">
      <c r="A312" t="s">
        <v>30</v>
      </c>
      <c r="B312" s="1">
        <v>2014</v>
      </c>
      <c r="C312" t="s">
        <v>39</v>
      </c>
      <c r="D312" t="str">
        <f t="shared" si="28"/>
        <v>2014-September</v>
      </c>
      <c r="E312" s="1">
        <v>9</v>
      </c>
      <c r="F312" s="1">
        <v>123.5</v>
      </c>
      <c r="G312" s="1">
        <v>124.26</v>
      </c>
      <c r="H312" s="1">
        <v>117.58</v>
      </c>
      <c r="I312" s="1">
        <v>122.98</v>
      </c>
      <c r="J312" s="1">
        <v>106.66</v>
      </c>
      <c r="K312" s="1">
        <v>126.12</v>
      </c>
      <c r="L312" s="1">
        <v>160.47999999999999</v>
      </c>
      <c r="M312" s="1">
        <v>116.3</v>
      </c>
      <c r="N312" s="1">
        <v>102.8</v>
      </c>
      <c r="O312" s="1">
        <v>119.54</v>
      </c>
      <c r="P312" s="1">
        <v>115.73999999999998</v>
      </c>
      <c r="Q312" s="1">
        <v>124.52000000000001</v>
      </c>
      <c r="R312" s="1">
        <v>125.76000000000002</v>
      </c>
      <c r="S312" s="1">
        <v>122.1</v>
      </c>
      <c r="T312" s="1">
        <v>120.74000000000001</v>
      </c>
      <c r="U312" s="1">
        <v>117</v>
      </c>
      <c r="V312" s="1">
        <v>120.14000000000001</v>
      </c>
      <c r="W312" s="1">
        <v>116.39999999999999</v>
      </c>
      <c r="X312" s="1">
        <v>113.84</v>
      </c>
      <c r="Y312" s="1">
        <v>116.32000000000001</v>
      </c>
      <c r="Z312" s="1">
        <v>113.63999999999999</v>
      </c>
      <c r="AA312" s="1">
        <v>111.71999999999998</v>
      </c>
      <c r="AB312" s="1">
        <v>113.28</v>
      </c>
      <c r="AC312" s="1">
        <v>118.9</v>
      </c>
      <c r="AD312" s="1">
        <v>109.7</v>
      </c>
      <c r="AE312" s="1">
        <v>113.78</v>
      </c>
      <c r="AF312" s="1">
        <v>119.9</v>
      </c>
      <c r="AG312" s="1">
        <f t="shared" si="29"/>
        <v>1586.24</v>
      </c>
      <c r="AH312" s="1">
        <f t="shared" si="30"/>
        <v>122.1</v>
      </c>
      <c r="AI312" s="1">
        <f t="shared" si="31"/>
        <v>357.88</v>
      </c>
      <c r="AJ312" s="1">
        <f t="shared" si="32"/>
        <v>116.39999999999999</v>
      </c>
      <c r="AK312" s="1">
        <f t="shared" si="33"/>
        <v>113.84</v>
      </c>
      <c r="AL312" s="1">
        <f t="shared" si="34"/>
        <v>797.33999999999992</v>
      </c>
    </row>
    <row r="313" spans="1:38" x14ac:dyDescent="0.3">
      <c r="A313" t="s">
        <v>31</v>
      </c>
      <c r="B313" s="1">
        <v>2014</v>
      </c>
      <c r="C313" t="s">
        <v>39</v>
      </c>
      <c r="D313" t="str">
        <f t="shared" si="28"/>
        <v>2014-September</v>
      </c>
      <c r="E313" s="1">
        <v>9</v>
      </c>
      <c r="F313" s="1">
        <v>123.2</v>
      </c>
      <c r="G313" s="1">
        <v>123.7</v>
      </c>
      <c r="H313" s="1">
        <v>118.28</v>
      </c>
      <c r="I313" s="1">
        <v>123.24</v>
      </c>
      <c r="J313" s="1">
        <v>108.06</v>
      </c>
      <c r="K313" s="1">
        <v>126.98</v>
      </c>
      <c r="L313" s="1">
        <v>157.16</v>
      </c>
      <c r="M313" s="1">
        <v>116.16</v>
      </c>
      <c r="N313" s="1">
        <v>103.08</v>
      </c>
      <c r="O313" s="1">
        <v>118.11999999999998</v>
      </c>
      <c r="P313" s="1">
        <v>116.13999999999999</v>
      </c>
      <c r="Q313" s="1">
        <v>124.38</v>
      </c>
      <c r="R313" s="1">
        <v>125.4</v>
      </c>
      <c r="S313" s="1">
        <v>121.4</v>
      </c>
      <c r="T313" s="1">
        <v>121.55999999999999</v>
      </c>
      <c r="U313" s="1">
        <v>118.2</v>
      </c>
      <c r="V313" s="1">
        <v>121.03999999999999</v>
      </c>
      <c r="W313" s="1">
        <v>116.5</v>
      </c>
      <c r="X313" s="1">
        <v>114.93999999999998</v>
      </c>
      <c r="Y313" s="1">
        <v>116.83999999999999</v>
      </c>
      <c r="Z313" s="1">
        <v>114.36000000000001</v>
      </c>
      <c r="AA313" s="1">
        <v>111.88000000000002</v>
      </c>
      <c r="AB313" s="1">
        <v>113.25999999999999</v>
      </c>
      <c r="AC313" s="1">
        <v>118.34</v>
      </c>
      <c r="AD313" s="1">
        <v>109.46</v>
      </c>
      <c r="AE313" s="1">
        <v>113.88</v>
      </c>
      <c r="AF313" s="1">
        <v>120.28</v>
      </c>
      <c r="AG313" s="1">
        <f t="shared" si="29"/>
        <v>1583.9</v>
      </c>
      <c r="AH313" s="1">
        <f t="shared" si="30"/>
        <v>121.4</v>
      </c>
      <c r="AI313" s="1">
        <f t="shared" si="31"/>
        <v>360.79999999999995</v>
      </c>
      <c r="AJ313" s="1">
        <f t="shared" si="32"/>
        <v>116.5</v>
      </c>
      <c r="AK313" s="1">
        <f t="shared" si="33"/>
        <v>114.93999999999998</v>
      </c>
      <c r="AL313" s="1">
        <f t="shared" si="34"/>
        <v>798.0200000000001</v>
      </c>
    </row>
    <row r="314" spans="1:38" x14ac:dyDescent="0.3">
      <c r="A314" t="s">
        <v>28</v>
      </c>
      <c r="B314" s="1">
        <v>2014</v>
      </c>
      <c r="C314" t="s">
        <v>38</v>
      </c>
      <c r="D314" t="str">
        <f t="shared" si="28"/>
        <v>2014-August</v>
      </c>
      <c r="E314" s="1">
        <v>8</v>
      </c>
      <c r="F314" s="1">
        <v>123.16</v>
      </c>
      <c r="G314" s="1">
        <v>124.46</v>
      </c>
      <c r="H314" s="1">
        <v>117.16</v>
      </c>
      <c r="I314" s="1">
        <v>122.3</v>
      </c>
      <c r="J314" s="1">
        <v>107.22</v>
      </c>
      <c r="K314" s="1">
        <v>129.56</v>
      </c>
      <c r="L314" s="1">
        <v>167.72</v>
      </c>
      <c r="M314" s="1">
        <v>115.14</v>
      </c>
      <c r="N314" s="1">
        <v>103.74</v>
      </c>
      <c r="O314" s="1">
        <v>118.31999999999998</v>
      </c>
      <c r="P314" s="1">
        <v>115.33999999999999</v>
      </c>
      <c r="Q314" s="1">
        <v>123.46000000000001</v>
      </c>
      <c r="R314" s="1">
        <v>126.55999999999999</v>
      </c>
      <c r="S314" s="1">
        <v>121.1</v>
      </c>
      <c r="T314" s="1">
        <v>120.08</v>
      </c>
      <c r="U314" s="1">
        <v>116.67999999999999</v>
      </c>
      <c r="V314" s="1">
        <v>119.58000000000001</v>
      </c>
      <c r="W314" s="1">
        <v>115.7</v>
      </c>
      <c r="X314" s="1">
        <v>113.75999999999999</v>
      </c>
      <c r="Y314" s="1">
        <v>115.8</v>
      </c>
      <c r="Z314" s="1">
        <v>113.25999999999999</v>
      </c>
      <c r="AA314" s="1">
        <v>112.5</v>
      </c>
      <c r="AB314" s="1">
        <v>112.74000000000001</v>
      </c>
      <c r="AC314" s="1">
        <v>118</v>
      </c>
      <c r="AD314" s="1">
        <v>109.78</v>
      </c>
      <c r="AE314" s="1">
        <v>113.67999999999999</v>
      </c>
      <c r="AF314" s="1">
        <v>120.20000000000002</v>
      </c>
      <c r="AG314" s="1">
        <f t="shared" si="29"/>
        <v>1594.1399999999996</v>
      </c>
      <c r="AH314" s="1">
        <f t="shared" si="30"/>
        <v>121.1</v>
      </c>
      <c r="AI314" s="1">
        <f t="shared" si="31"/>
        <v>356.34000000000003</v>
      </c>
      <c r="AJ314" s="1">
        <f t="shared" si="32"/>
        <v>115.7</v>
      </c>
      <c r="AK314" s="1">
        <f t="shared" si="33"/>
        <v>113.75999999999999</v>
      </c>
      <c r="AL314" s="1">
        <f t="shared" si="34"/>
        <v>795.75999999999988</v>
      </c>
    </row>
    <row r="315" spans="1:38" x14ac:dyDescent="0.3">
      <c r="A315" t="s">
        <v>30</v>
      </c>
      <c r="B315" s="1">
        <v>2014</v>
      </c>
      <c r="C315" t="s">
        <v>38</v>
      </c>
      <c r="D315" t="str">
        <f t="shared" si="28"/>
        <v>2014-August</v>
      </c>
      <c r="E315" s="1">
        <v>8</v>
      </c>
      <c r="F315" s="1">
        <v>123.38</v>
      </c>
      <c r="G315" s="1">
        <v>124.6</v>
      </c>
      <c r="H315" s="1">
        <v>117.06</v>
      </c>
      <c r="I315" s="1">
        <v>122.46</v>
      </c>
      <c r="J315" s="1">
        <v>106.68</v>
      </c>
      <c r="K315" s="1">
        <v>129.08000000000001</v>
      </c>
      <c r="L315" s="1">
        <v>167.92</v>
      </c>
      <c r="M315" s="1">
        <v>115.44</v>
      </c>
      <c r="N315" s="1">
        <v>103.48</v>
      </c>
      <c r="O315" s="1">
        <v>118.92</v>
      </c>
      <c r="P315" s="1">
        <v>115.34</v>
      </c>
      <c r="Q315" s="1">
        <v>123.88</v>
      </c>
      <c r="R315" s="1">
        <v>126.66</v>
      </c>
      <c r="S315" s="1">
        <v>121.5</v>
      </c>
      <c r="T315" s="1">
        <v>120.04</v>
      </c>
      <c r="U315" s="1">
        <v>116.35999999999999</v>
      </c>
      <c r="V315" s="1">
        <v>119.46000000000001</v>
      </c>
      <c r="W315" s="1">
        <v>115.80000000000001</v>
      </c>
      <c r="X315" s="1">
        <v>113.54</v>
      </c>
      <c r="Y315" s="1">
        <v>115.83999999999999</v>
      </c>
      <c r="Z315" s="1">
        <v>113.2</v>
      </c>
      <c r="AA315" s="1">
        <v>112.25999999999999</v>
      </c>
      <c r="AB315" s="1">
        <v>112.92</v>
      </c>
      <c r="AC315" s="1">
        <v>118.47999999999999</v>
      </c>
      <c r="AD315" s="1">
        <v>109.8</v>
      </c>
      <c r="AE315" s="1">
        <v>113.72</v>
      </c>
      <c r="AF315" s="1">
        <v>120.08</v>
      </c>
      <c r="AG315" s="1">
        <f t="shared" si="29"/>
        <v>1594.8999999999999</v>
      </c>
      <c r="AH315" s="1">
        <f t="shared" si="30"/>
        <v>121.5</v>
      </c>
      <c r="AI315" s="1">
        <f t="shared" si="31"/>
        <v>355.86</v>
      </c>
      <c r="AJ315" s="1">
        <f t="shared" si="32"/>
        <v>115.80000000000001</v>
      </c>
      <c r="AK315" s="1">
        <f t="shared" si="33"/>
        <v>113.54</v>
      </c>
      <c r="AL315" s="1">
        <f t="shared" si="34"/>
        <v>796.21999999999991</v>
      </c>
    </row>
    <row r="316" spans="1:38" x14ac:dyDescent="0.3">
      <c r="A316" t="s">
        <v>31</v>
      </c>
      <c r="B316" s="1">
        <v>2014</v>
      </c>
      <c r="C316" t="s">
        <v>38</v>
      </c>
      <c r="D316" t="str">
        <f t="shared" si="28"/>
        <v>2014-August</v>
      </c>
      <c r="E316" s="1">
        <v>8</v>
      </c>
      <c r="F316" s="1">
        <v>122.94</v>
      </c>
      <c r="G316" s="1">
        <v>123.64</v>
      </c>
      <c r="H316" s="1">
        <v>117.42</v>
      </c>
      <c r="I316" s="1">
        <v>122.66</v>
      </c>
      <c r="J316" s="1">
        <v>108.06</v>
      </c>
      <c r="K316" s="1">
        <v>128.32</v>
      </c>
      <c r="L316" s="1">
        <v>162.6</v>
      </c>
      <c r="M316" s="1">
        <v>115.5</v>
      </c>
      <c r="N316" s="1">
        <v>103.74</v>
      </c>
      <c r="O316" s="1">
        <v>117.55999999999999</v>
      </c>
      <c r="P316" s="1">
        <v>115.82000000000001</v>
      </c>
      <c r="Q316" s="1">
        <v>123.58</v>
      </c>
      <c r="R316" s="1">
        <v>125.9</v>
      </c>
      <c r="S316" s="1">
        <v>120.9</v>
      </c>
      <c r="T316" s="1">
        <v>120.85999999999999</v>
      </c>
      <c r="U316" s="1">
        <v>117.6</v>
      </c>
      <c r="V316" s="1">
        <v>120.33999999999999</v>
      </c>
      <c r="W316" s="1">
        <v>115.89999999999999</v>
      </c>
      <c r="X316" s="1">
        <v>114.46000000000001</v>
      </c>
      <c r="Y316" s="1">
        <v>116.28</v>
      </c>
      <c r="Z316" s="1">
        <v>113.82000000000001</v>
      </c>
      <c r="AA316" s="1">
        <v>112.28</v>
      </c>
      <c r="AB316" s="1">
        <v>112.94000000000001</v>
      </c>
      <c r="AC316" s="1">
        <v>118.02000000000001</v>
      </c>
      <c r="AD316" s="1">
        <v>109.55999999999999</v>
      </c>
      <c r="AE316" s="1">
        <v>113.74000000000001</v>
      </c>
      <c r="AF316" s="1">
        <v>120.3</v>
      </c>
      <c r="AG316" s="1">
        <f t="shared" si="29"/>
        <v>1587.7399999999998</v>
      </c>
      <c r="AH316" s="1">
        <f t="shared" si="30"/>
        <v>120.9</v>
      </c>
      <c r="AI316" s="1">
        <f t="shared" si="31"/>
        <v>358.79999999999995</v>
      </c>
      <c r="AJ316" s="1">
        <f t="shared" si="32"/>
        <v>115.89999999999999</v>
      </c>
      <c r="AK316" s="1">
        <f t="shared" si="33"/>
        <v>114.46000000000001</v>
      </c>
      <c r="AL316" s="1">
        <f t="shared" si="34"/>
        <v>796.64</v>
      </c>
    </row>
    <row r="317" spans="1:38" x14ac:dyDescent="0.3">
      <c r="A317" t="s">
        <v>28</v>
      </c>
      <c r="B317" s="1">
        <v>2014</v>
      </c>
      <c r="C317" t="s">
        <v>37</v>
      </c>
      <c r="D317" t="str">
        <f t="shared" si="28"/>
        <v>2014-July</v>
      </c>
      <c r="E317" s="1">
        <v>7</v>
      </c>
      <c r="F317" s="1">
        <v>122.9</v>
      </c>
      <c r="G317" s="1">
        <v>124.58</v>
      </c>
      <c r="H317" s="1">
        <v>117.56</v>
      </c>
      <c r="I317" s="1">
        <v>121.46</v>
      </c>
      <c r="J317" s="1">
        <v>107.2</v>
      </c>
      <c r="K317" s="1">
        <v>131.28</v>
      </c>
      <c r="L317" s="1">
        <v>164.64</v>
      </c>
      <c r="M317" s="1">
        <v>113.76</v>
      </c>
      <c r="N317" s="1">
        <v>103.88</v>
      </c>
      <c r="O317" s="1">
        <v>117.1</v>
      </c>
      <c r="P317" s="1">
        <v>114.88</v>
      </c>
      <c r="Q317" s="1">
        <v>122.55999999999999</v>
      </c>
      <c r="R317" s="1">
        <v>125.85999999999999</v>
      </c>
      <c r="S317" s="1">
        <v>119.92</v>
      </c>
      <c r="T317" s="1">
        <v>119.55999999999999</v>
      </c>
      <c r="U317" s="1">
        <v>116.22</v>
      </c>
      <c r="V317" s="1">
        <v>119.08</v>
      </c>
      <c r="W317" s="1">
        <v>115.03333333333335</v>
      </c>
      <c r="X317" s="1">
        <v>113.59999999999998</v>
      </c>
      <c r="Y317" s="1">
        <v>115.33999999999999</v>
      </c>
      <c r="Z317" s="1">
        <v>112.76000000000002</v>
      </c>
      <c r="AA317" s="1">
        <v>113</v>
      </c>
      <c r="AB317" s="1">
        <v>112.28</v>
      </c>
      <c r="AC317" s="1">
        <v>117.1</v>
      </c>
      <c r="AD317" s="1">
        <v>109.52000000000001</v>
      </c>
      <c r="AE317" s="1">
        <v>113.46</v>
      </c>
      <c r="AF317" s="1">
        <v>119.64000000000001</v>
      </c>
      <c r="AG317" s="1">
        <f t="shared" si="29"/>
        <v>1587.6599999999996</v>
      </c>
      <c r="AH317" s="1">
        <f t="shared" si="30"/>
        <v>119.92</v>
      </c>
      <c r="AI317" s="1">
        <f t="shared" si="31"/>
        <v>354.85999999999996</v>
      </c>
      <c r="AJ317" s="1">
        <f t="shared" si="32"/>
        <v>115.03333333333335</v>
      </c>
      <c r="AK317" s="1">
        <f t="shared" si="33"/>
        <v>113.59999999999998</v>
      </c>
      <c r="AL317" s="1">
        <f t="shared" si="34"/>
        <v>793.46</v>
      </c>
    </row>
    <row r="318" spans="1:38" x14ac:dyDescent="0.3">
      <c r="A318" t="s">
        <v>30</v>
      </c>
      <c r="B318" s="1">
        <v>2014</v>
      </c>
      <c r="C318" t="s">
        <v>37</v>
      </c>
      <c r="D318" t="str">
        <f t="shared" si="28"/>
        <v>2014-July</v>
      </c>
      <c r="E318" s="1">
        <v>7</v>
      </c>
      <c r="F318" s="1">
        <v>123.1</v>
      </c>
      <c r="G318" s="1">
        <v>124.96</v>
      </c>
      <c r="H318" s="1">
        <v>117.48</v>
      </c>
      <c r="I318" s="1">
        <v>121.74</v>
      </c>
      <c r="J318" s="1">
        <v>106.72</v>
      </c>
      <c r="K318" s="1">
        <v>131.68</v>
      </c>
      <c r="L318" s="1">
        <v>168.26</v>
      </c>
      <c r="M318" s="1">
        <v>114.02</v>
      </c>
      <c r="N318" s="1">
        <v>103.78</v>
      </c>
      <c r="O318" s="1">
        <v>117.86000000000001</v>
      </c>
      <c r="P318" s="1">
        <v>114.8</v>
      </c>
      <c r="Q318" s="1">
        <v>123</v>
      </c>
      <c r="R318" s="1">
        <v>126.52000000000001</v>
      </c>
      <c r="S318" s="1">
        <v>120.3</v>
      </c>
      <c r="T318" s="1">
        <v>119.42</v>
      </c>
      <c r="U318" s="1">
        <v>115.91999999999999</v>
      </c>
      <c r="V318" s="1">
        <v>118.94000000000001</v>
      </c>
      <c r="W318" s="1">
        <v>115.15</v>
      </c>
      <c r="X318" s="1">
        <v>113.34</v>
      </c>
      <c r="Y318" s="1">
        <v>115.38</v>
      </c>
      <c r="Z318" s="1">
        <v>112.73999999999998</v>
      </c>
      <c r="AA318" s="1">
        <v>112.92</v>
      </c>
      <c r="AB318" s="1">
        <v>112.44000000000001</v>
      </c>
      <c r="AC318" s="1">
        <v>117.6</v>
      </c>
      <c r="AD318" s="1">
        <v>109.74000000000001</v>
      </c>
      <c r="AE318" s="1">
        <v>113.58000000000001</v>
      </c>
      <c r="AF318" s="1">
        <v>119.8</v>
      </c>
      <c r="AG318" s="1">
        <f t="shared" si="29"/>
        <v>1593.9199999999998</v>
      </c>
      <c r="AH318" s="1">
        <f t="shared" si="30"/>
        <v>120.3</v>
      </c>
      <c r="AI318" s="1">
        <f t="shared" si="31"/>
        <v>354.28</v>
      </c>
      <c r="AJ318" s="1">
        <f t="shared" si="32"/>
        <v>115.15</v>
      </c>
      <c r="AK318" s="1">
        <f t="shared" si="33"/>
        <v>113.34</v>
      </c>
      <c r="AL318" s="1">
        <f t="shared" si="34"/>
        <v>794.4</v>
      </c>
    </row>
    <row r="319" spans="1:38" x14ac:dyDescent="0.3">
      <c r="A319" t="s">
        <v>31</v>
      </c>
      <c r="B319" s="1">
        <v>2014</v>
      </c>
      <c r="C319" t="s">
        <v>37</v>
      </c>
      <c r="D319" t="str">
        <f t="shared" si="28"/>
        <v>2014-July</v>
      </c>
      <c r="E319" s="1">
        <v>7</v>
      </c>
      <c r="F319" s="1">
        <v>122.8</v>
      </c>
      <c r="G319" s="1">
        <v>124.16</v>
      </c>
      <c r="H319" s="1">
        <v>117.44</v>
      </c>
      <c r="I319" s="1">
        <v>121.96</v>
      </c>
      <c r="J319" s="1">
        <v>108.1</v>
      </c>
      <c r="K319" s="1">
        <v>130.9</v>
      </c>
      <c r="L319" s="1">
        <v>165.54</v>
      </c>
      <c r="M319" s="1">
        <v>114.4</v>
      </c>
      <c r="N319" s="1">
        <v>104.18</v>
      </c>
      <c r="O319" s="1">
        <v>116.83999999999999</v>
      </c>
      <c r="P319" s="1">
        <v>115.34</v>
      </c>
      <c r="Q319" s="1">
        <v>122.84</v>
      </c>
      <c r="R319" s="1">
        <v>126.16</v>
      </c>
      <c r="S319" s="1">
        <v>120</v>
      </c>
      <c r="T319" s="1">
        <v>120.16000000000001</v>
      </c>
      <c r="U319" s="1">
        <v>117.04</v>
      </c>
      <c r="V319" s="1">
        <v>119.72</v>
      </c>
      <c r="W319" s="1">
        <v>115.26666666666667</v>
      </c>
      <c r="X319" s="1">
        <v>114.17999999999999</v>
      </c>
      <c r="Y319" s="1">
        <v>115.74000000000001</v>
      </c>
      <c r="Z319" s="1">
        <v>113.34</v>
      </c>
      <c r="AA319" s="1">
        <v>112.88</v>
      </c>
      <c r="AB319" s="1">
        <v>112.48000000000002</v>
      </c>
      <c r="AC319" s="1">
        <v>117.35999999999999</v>
      </c>
      <c r="AD319" s="1">
        <v>109.62</v>
      </c>
      <c r="AE319" s="1">
        <v>113.62</v>
      </c>
      <c r="AF319" s="1">
        <v>120.2</v>
      </c>
      <c r="AG319" s="1">
        <f t="shared" si="29"/>
        <v>1590.6599999999996</v>
      </c>
      <c r="AH319" s="1">
        <f t="shared" si="30"/>
        <v>120</v>
      </c>
      <c r="AI319" s="1">
        <f t="shared" si="31"/>
        <v>356.92</v>
      </c>
      <c r="AJ319" s="1">
        <f t="shared" si="32"/>
        <v>115.26666666666667</v>
      </c>
      <c r="AK319" s="1">
        <f t="shared" si="33"/>
        <v>114.17999999999999</v>
      </c>
      <c r="AL319" s="1">
        <f t="shared" si="34"/>
        <v>795.04000000000008</v>
      </c>
    </row>
    <row r="320" spans="1:38" x14ac:dyDescent="0.3">
      <c r="A320" t="s">
        <v>28</v>
      </c>
      <c r="B320" s="1">
        <v>2014</v>
      </c>
      <c r="C320" t="s">
        <v>36</v>
      </c>
      <c r="D320" t="str">
        <f t="shared" si="28"/>
        <v>2014-June</v>
      </c>
      <c r="E320" s="1">
        <v>6</v>
      </c>
      <c r="F320" s="1">
        <v>122.16</v>
      </c>
      <c r="G320" s="1">
        <v>123.9</v>
      </c>
      <c r="H320" s="1">
        <v>116.6</v>
      </c>
      <c r="I320" s="1">
        <v>120.32</v>
      </c>
      <c r="J320" s="1">
        <v>107.08</v>
      </c>
      <c r="K320" s="1">
        <v>129.62</v>
      </c>
      <c r="L320" s="1">
        <v>144.28</v>
      </c>
      <c r="M320" s="1">
        <v>112.74</v>
      </c>
      <c r="N320" s="1">
        <v>103.08</v>
      </c>
      <c r="O320" s="1">
        <v>115.64000000000001</v>
      </c>
      <c r="P320" s="1">
        <v>114.33999999999999</v>
      </c>
      <c r="Q320" s="1">
        <v>121.6</v>
      </c>
      <c r="R320" s="1">
        <v>122.46</v>
      </c>
      <c r="S320" s="1">
        <v>118.62</v>
      </c>
      <c r="T320" s="1">
        <v>118.92</v>
      </c>
      <c r="U320" s="1">
        <v>115.6</v>
      </c>
      <c r="V320" s="1">
        <v>118.4</v>
      </c>
      <c r="W320" s="1">
        <v>114.2</v>
      </c>
      <c r="X320" s="1">
        <v>113.14000000000001</v>
      </c>
      <c r="Y320" s="1">
        <v>114.81999999999998</v>
      </c>
      <c r="Z320" s="1">
        <v>112.28</v>
      </c>
      <c r="AA320" s="1">
        <v>112.34</v>
      </c>
      <c r="AB320" s="1">
        <v>111.8</v>
      </c>
      <c r="AC320" s="1">
        <v>115.5</v>
      </c>
      <c r="AD320" s="1">
        <v>108.7</v>
      </c>
      <c r="AE320" s="1">
        <v>112.67999999999999</v>
      </c>
      <c r="AF320" s="1">
        <v>117.7</v>
      </c>
      <c r="AG320" s="1">
        <f t="shared" si="29"/>
        <v>1553.82</v>
      </c>
      <c r="AH320" s="1">
        <f t="shared" si="30"/>
        <v>118.62</v>
      </c>
      <c r="AI320" s="1">
        <f t="shared" si="31"/>
        <v>352.91999999999996</v>
      </c>
      <c r="AJ320" s="1">
        <f t="shared" si="32"/>
        <v>114.2</v>
      </c>
      <c r="AK320" s="1">
        <f t="shared" si="33"/>
        <v>113.14000000000001</v>
      </c>
      <c r="AL320" s="1">
        <f t="shared" si="34"/>
        <v>788.12</v>
      </c>
    </row>
    <row r="321" spans="1:38" x14ac:dyDescent="0.3">
      <c r="A321" t="s">
        <v>30</v>
      </c>
      <c r="B321" s="1">
        <v>2014</v>
      </c>
      <c r="C321" t="s">
        <v>36</v>
      </c>
      <c r="D321" t="str">
        <f t="shared" si="28"/>
        <v>2014-June</v>
      </c>
      <c r="E321" s="1">
        <v>6</v>
      </c>
      <c r="F321" s="1">
        <v>122.5</v>
      </c>
      <c r="G321" s="1">
        <v>124.36</v>
      </c>
      <c r="H321" s="1">
        <v>116.94</v>
      </c>
      <c r="I321" s="1">
        <v>120.66</v>
      </c>
      <c r="J321" s="1">
        <v>106.6</v>
      </c>
      <c r="K321" s="1">
        <v>130.69999999999999</v>
      </c>
      <c r="L321" s="1">
        <v>149.96</v>
      </c>
      <c r="M321" s="1">
        <v>112.94</v>
      </c>
      <c r="N321" s="1">
        <v>103.18</v>
      </c>
      <c r="O321" s="1">
        <v>116.28</v>
      </c>
      <c r="P321" s="1">
        <v>114.32000000000001</v>
      </c>
      <c r="Q321" s="1">
        <v>122</v>
      </c>
      <c r="R321" s="1">
        <v>123.5</v>
      </c>
      <c r="S321" s="1">
        <v>118.92</v>
      </c>
      <c r="T321" s="1">
        <v>118.9</v>
      </c>
      <c r="U321" s="1">
        <v>115.4</v>
      </c>
      <c r="V321" s="1">
        <v>118.36000000000001</v>
      </c>
      <c r="W321" s="1">
        <v>114.35000000000001</v>
      </c>
      <c r="X321" s="1">
        <v>113.03999999999999</v>
      </c>
      <c r="Y321" s="1">
        <v>114.88</v>
      </c>
      <c r="Z321" s="1">
        <v>112.26000000000002</v>
      </c>
      <c r="AA321" s="1">
        <v>112.52000000000001</v>
      </c>
      <c r="AB321" s="1">
        <v>111.94000000000001</v>
      </c>
      <c r="AC321" s="1">
        <v>116</v>
      </c>
      <c r="AD321" s="1">
        <v>108.94000000000001</v>
      </c>
      <c r="AE321" s="1">
        <v>112.88</v>
      </c>
      <c r="AF321" s="1">
        <v>118.14000000000001</v>
      </c>
      <c r="AG321" s="1">
        <f t="shared" si="29"/>
        <v>1563.94</v>
      </c>
      <c r="AH321" s="1">
        <f t="shared" si="30"/>
        <v>118.92</v>
      </c>
      <c r="AI321" s="1">
        <f t="shared" si="31"/>
        <v>352.66</v>
      </c>
      <c r="AJ321" s="1">
        <f t="shared" si="32"/>
        <v>114.35000000000001</v>
      </c>
      <c r="AK321" s="1">
        <f t="shared" si="33"/>
        <v>113.03999999999999</v>
      </c>
      <c r="AL321" s="1">
        <f t="shared" si="34"/>
        <v>789.42000000000007</v>
      </c>
    </row>
    <row r="322" spans="1:38" x14ac:dyDescent="0.3">
      <c r="A322" t="s">
        <v>31</v>
      </c>
      <c r="B322" s="1">
        <v>2014</v>
      </c>
      <c r="C322" t="s">
        <v>36</v>
      </c>
      <c r="D322" t="str">
        <f t="shared" si="28"/>
        <v>2014-June</v>
      </c>
      <c r="E322" s="1">
        <v>6</v>
      </c>
      <c r="F322" s="1">
        <v>122.24</v>
      </c>
      <c r="G322" s="1">
        <v>123.74</v>
      </c>
      <c r="H322" s="1">
        <v>117.42</v>
      </c>
      <c r="I322" s="1">
        <v>120.96</v>
      </c>
      <c r="J322" s="1">
        <v>108.04</v>
      </c>
      <c r="K322" s="1">
        <v>130.4</v>
      </c>
      <c r="L322" s="1">
        <v>154.68</v>
      </c>
      <c r="M322" s="1">
        <v>113.2</v>
      </c>
      <c r="N322" s="1">
        <v>103.92</v>
      </c>
      <c r="O322" s="1">
        <v>115.54</v>
      </c>
      <c r="P322" s="1">
        <v>114.84</v>
      </c>
      <c r="Q322" s="1">
        <v>121.86000000000001</v>
      </c>
      <c r="R322" s="1">
        <v>124.16</v>
      </c>
      <c r="S322" s="1">
        <v>118.88</v>
      </c>
      <c r="T322" s="1">
        <v>119.6</v>
      </c>
      <c r="U322" s="1">
        <v>116.52000000000001</v>
      </c>
      <c r="V322" s="1">
        <v>119.16000000000001</v>
      </c>
      <c r="W322" s="1">
        <v>114.5</v>
      </c>
      <c r="X322" s="1">
        <v>113.88</v>
      </c>
      <c r="Y322" s="1">
        <v>115.2</v>
      </c>
      <c r="Z322" s="1">
        <v>112.78</v>
      </c>
      <c r="AA322" s="1">
        <v>112.86000000000001</v>
      </c>
      <c r="AB322" s="1">
        <v>112.02000000000001</v>
      </c>
      <c r="AC322" s="1">
        <v>116.22</v>
      </c>
      <c r="AD322" s="1">
        <v>109.08</v>
      </c>
      <c r="AE322" s="1">
        <v>113.14000000000001</v>
      </c>
      <c r="AF322" s="1">
        <v>119</v>
      </c>
      <c r="AG322" s="1">
        <f t="shared" si="29"/>
        <v>1571.0000000000002</v>
      </c>
      <c r="AH322" s="1">
        <f t="shared" si="30"/>
        <v>118.88</v>
      </c>
      <c r="AI322" s="1">
        <f t="shared" si="31"/>
        <v>355.28000000000003</v>
      </c>
      <c r="AJ322" s="1">
        <f t="shared" si="32"/>
        <v>114.5</v>
      </c>
      <c r="AK322" s="1">
        <f t="shared" si="33"/>
        <v>113.88</v>
      </c>
      <c r="AL322" s="1">
        <f t="shared" si="34"/>
        <v>791.30000000000007</v>
      </c>
    </row>
    <row r="323" spans="1:38" x14ac:dyDescent="0.3">
      <c r="A323" t="s">
        <v>28</v>
      </c>
      <c r="B323" s="1">
        <v>2014</v>
      </c>
      <c r="C323" t="s">
        <v>35</v>
      </c>
      <c r="D323" t="str">
        <f t="shared" ref="D323:D373" si="35">CONCATENATE(B323,"-",C323)</f>
        <v>2014-May</v>
      </c>
      <c r="E323" s="1">
        <v>5</v>
      </c>
      <c r="F323" s="1">
        <v>121.58</v>
      </c>
      <c r="G323" s="1">
        <v>122.68</v>
      </c>
      <c r="H323" s="1">
        <v>115.7</v>
      </c>
      <c r="I323" s="1">
        <v>119.04</v>
      </c>
      <c r="J323" s="1">
        <v>107</v>
      </c>
      <c r="K323" s="1">
        <v>128.04</v>
      </c>
      <c r="L323" s="1">
        <v>128.54</v>
      </c>
      <c r="M323" s="1">
        <v>112.2</v>
      </c>
      <c r="N323" s="1">
        <v>102.52</v>
      </c>
      <c r="O323" s="1">
        <v>114.52000000000001</v>
      </c>
      <c r="P323" s="1">
        <v>113.78000000000002</v>
      </c>
      <c r="Q323" s="1">
        <v>120.75999999999999</v>
      </c>
      <c r="R323" s="1">
        <v>119.72</v>
      </c>
      <c r="S323" s="1">
        <v>117.54</v>
      </c>
      <c r="T323" s="1">
        <v>118.12</v>
      </c>
      <c r="U323" s="1">
        <v>115.08</v>
      </c>
      <c r="V323" s="1">
        <v>117.66</v>
      </c>
      <c r="W323" s="1">
        <v>114.16666666666667</v>
      </c>
      <c r="X323" s="1">
        <v>112.52000000000001</v>
      </c>
      <c r="Y323" s="1">
        <v>114.29999999999998</v>
      </c>
      <c r="Z323" s="1">
        <v>111.86000000000001</v>
      </c>
      <c r="AA323" s="1">
        <v>111.54</v>
      </c>
      <c r="AB323" s="1">
        <v>111.35999999999999</v>
      </c>
      <c r="AC323" s="1">
        <v>113.67999999999999</v>
      </c>
      <c r="AD323" s="1">
        <v>108.8</v>
      </c>
      <c r="AE323" s="1">
        <v>111.96000000000001</v>
      </c>
      <c r="AF323" s="1">
        <v>116.16</v>
      </c>
      <c r="AG323" s="1">
        <f t="shared" ref="AG323:AG373" si="36">SUM(F323:R323)</f>
        <v>1526.08</v>
      </c>
      <c r="AH323" s="1">
        <f t="shared" ref="AH323:AH373" si="37">SUM(S323)</f>
        <v>117.54</v>
      </c>
      <c r="AI323" s="1">
        <f t="shared" ref="AI323:AI373" si="38">SUM(T323:V323)</f>
        <v>350.86</v>
      </c>
      <c r="AJ323" s="1">
        <f t="shared" ref="AJ323:AJ373" si="39">SUM(W323)</f>
        <v>114.16666666666667</v>
      </c>
      <c r="AK323" s="1">
        <f t="shared" ref="AK323:AK373" si="40">SUM(X323)</f>
        <v>112.52000000000001</v>
      </c>
      <c r="AL323" s="1">
        <f t="shared" ref="AL323:AL373" si="41">SUM(Y323:AE323)</f>
        <v>783.49999999999989</v>
      </c>
    </row>
    <row r="324" spans="1:38" x14ac:dyDescent="0.3">
      <c r="A324" t="s">
        <v>30</v>
      </c>
      <c r="B324" s="1">
        <v>2014</v>
      </c>
      <c r="C324" t="s">
        <v>35</v>
      </c>
      <c r="D324" t="str">
        <f t="shared" si="35"/>
        <v>2014-May</v>
      </c>
      <c r="E324" s="1">
        <v>5</v>
      </c>
      <c r="F324" s="1">
        <v>121.82</v>
      </c>
      <c r="G324" s="1">
        <v>123.26</v>
      </c>
      <c r="H324" s="1">
        <v>115.48</v>
      </c>
      <c r="I324" s="1">
        <v>119.38</v>
      </c>
      <c r="J324" s="1">
        <v>106.54</v>
      </c>
      <c r="K324" s="1">
        <v>128.44</v>
      </c>
      <c r="L324" s="1">
        <v>130.18</v>
      </c>
      <c r="M324" s="1">
        <v>112.38</v>
      </c>
      <c r="N324" s="1">
        <v>102.4</v>
      </c>
      <c r="O324" s="1">
        <v>115.05999999999999</v>
      </c>
      <c r="P324" s="1">
        <v>113.78</v>
      </c>
      <c r="Q324" s="1">
        <v>121.16000000000001</v>
      </c>
      <c r="R324" s="1">
        <v>120.16</v>
      </c>
      <c r="S324" s="1">
        <v>117.83999999999999</v>
      </c>
      <c r="T324" s="1">
        <v>118.13999999999999</v>
      </c>
      <c r="U324" s="1">
        <v>114.84</v>
      </c>
      <c r="V324" s="1">
        <v>117.62</v>
      </c>
      <c r="W324" s="1">
        <v>114.1</v>
      </c>
      <c r="X324" s="1">
        <v>112.47999999999999</v>
      </c>
      <c r="Y324" s="1">
        <v>114.4</v>
      </c>
      <c r="Z324" s="1">
        <v>111.9</v>
      </c>
      <c r="AA324" s="1">
        <v>111.62</v>
      </c>
      <c r="AB324" s="1">
        <v>111.5</v>
      </c>
      <c r="AC324" s="1">
        <v>114.01999999999998</v>
      </c>
      <c r="AD324" s="1">
        <v>108.67999999999999</v>
      </c>
      <c r="AE324" s="1">
        <v>112.05999999999999</v>
      </c>
      <c r="AF324" s="1">
        <v>116.3</v>
      </c>
      <c r="AG324" s="1">
        <f t="shared" si="36"/>
        <v>1530.0400000000002</v>
      </c>
      <c r="AH324" s="1">
        <f t="shared" si="37"/>
        <v>117.83999999999999</v>
      </c>
      <c r="AI324" s="1">
        <f t="shared" si="38"/>
        <v>350.6</v>
      </c>
      <c r="AJ324" s="1">
        <f t="shared" si="39"/>
        <v>114.1</v>
      </c>
      <c r="AK324" s="1">
        <f t="shared" si="40"/>
        <v>112.47999999999999</v>
      </c>
      <c r="AL324" s="1">
        <f t="shared" si="41"/>
        <v>784.18</v>
      </c>
    </row>
    <row r="325" spans="1:38" x14ac:dyDescent="0.3">
      <c r="A325" t="s">
        <v>31</v>
      </c>
      <c r="B325" s="1">
        <v>2014</v>
      </c>
      <c r="C325" t="s">
        <v>35</v>
      </c>
      <c r="D325" t="str">
        <f t="shared" si="35"/>
        <v>2014-May</v>
      </c>
      <c r="E325" s="1">
        <v>5</v>
      </c>
      <c r="F325" s="1">
        <v>121.62</v>
      </c>
      <c r="G325" s="1">
        <v>122.94</v>
      </c>
      <c r="H325" s="1">
        <v>116.18</v>
      </c>
      <c r="I325" s="1">
        <v>119.68</v>
      </c>
      <c r="J325" s="1">
        <v>107.92</v>
      </c>
      <c r="K325" s="1">
        <v>128.41999999999999</v>
      </c>
      <c r="L325" s="1">
        <v>134.80000000000001</v>
      </c>
      <c r="M325" s="1">
        <v>112.5</v>
      </c>
      <c r="N325" s="1">
        <v>103.1</v>
      </c>
      <c r="O325" s="1">
        <v>114.32000000000001</v>
      </c>
      <c r="P325" s="1">
        <v>114.32000000000001</v>
      </c>
      <c r="Q325" s="1">
        <v>121</v>
      </c>
      <c r="R325" s="1">
        <v>120.81999999999998</v>
      </c>
      <c r="S325" s="1">
        <v>117.78000000000002</v>
      </c>
      <c r="T325" s="1">
        <v>118.92</v>
      </c>
      <c r="U325" s="1">
        <v>115.91999999999999</v>
      </c>
      <c r="V325" s="1">
        <v>118.43999999999998</v>
      </c>
      <c r="W325" s="1">
        <v>114.03333333333335</v>
      </c>
      <c r="X325" s="1">
        <v>113.32000000000001</v>
      </c>
      <c r="Y325" s="1">
        <v>114.66</v>
      </c>
      <c r="Z325" s="1">
        <v>112.34</v>
      </c>
      <c r="AA325" s="1">
        <v>112</v>
      </c>
      <c r="AB325" s="1">
        <v>111.55999999999999</v>
      </c>
      <c r="AC325" s="1">
        <v>114.54</v>
      </c>
      <c r="AD325" s="1">
        <v>108.58</v>
      </c>
      <c r="AE325" s="1">
        <v>112.34</v>
      </c>
      <c r="AF325" s="1">
        <v>117.08000000000001</v>
      </c>
      <c r="AG325" s="1">
        <f t="shared" si="36"/>
        <v>1537.6199999999997</v>
      </c>
      <c r="AH325" s="1">
        <f t="shared" si="37"/>
        <v>117.78000000000002</v>
      </c>
      <c r="AI325" s="1">
        <f t="shared" si="38"/>
        <v>353.28</v>
      </c>
      <c r="AJ325" s="1">
        <f t="shared" si="39"/>
        <v>114.03333333333335</v>
      </c>
      <c r="AK325" s="1">
        <f t="shared" si="40"/>
        <v>113.32000000000001</v>
      </c>
      <c r="AL325" s="1">
        <f t="shared" si="41"/>
        <v>786.0200000000001</v>
      </c>
    </row>
    <row r="326" spans="1:38" x14ac:dyDescent="0.3">
      <c r="A326" t="s">
        <v>28</v>
      </c>
      <c r="B326" s="1">
        <v>2014</v>
      </c>
      <c r="C326" t="s">
        <v>34</v>
      </c>
      <c r="D326" t="str">
        <f t="shared" si="35"/>
        <v>2014-April</v>
      </c>
      <c r="E326" s="1">
        <v>4</v>
      </c>
      <c r="F326" s="1">
        <v>121.32</v>
      </c>
      <c r="G326" s="1">
        <v>120.96</v>
      </c>
      <c r="H326" s="1">
        <v>115.74</v>
      </c>
      <c r="I326" s="1">
        <v>117.62</v>
      </c>
      <c r="J326" s="1">
        <v>106.74</v>
      </c>
      <c r="K326" s="1">
        <v>126.76</v>
      </c>
      <c r="L326" s="1">
        <v>122.66</v>
      </c>
      <c r="M326" s="1">
        <v>111.42</v>
      </c>
      <c r="N326" s="1">
        <v>101.9</v>
      </c>
      <c r="O326" s="1">
        <v>113.54</v>
      </c>
      <c r="P326" s="1">
        <v>113.3</v>
      </c>
      <c r="Q326" s="1">
        <v>120.08</v>
      </c>
      <c r="R326" s="1">
        <v>118.24000000000001</v>
      </c>
      <c r="S326" s="1">
        <v>116.72</v>
      </c>
      <c r="T326" s="1">
        <v>117.46</v>
      </c>
      <c r="U326" s="1">
        <v>114.58</v>
      </c>
      <c r="V326" s="1">
        <v>117.04</v>
      </c>
      <c r="W326" s="1">
        <v>114.03333333333335</v>
      </c>
      <c r="X326" s="1">
        <v>112.26000000000002</v>
      </c>
      <c r="Y326" s="1">
        <v>113.78000000000002</v>
      </c>
      <c r="Z326" s="1">
        <v>111.52000000000001</v>
      </c>
      <c r="AA326" s="1">
        <v>111.25999999999999</v>
      </c>
      <c r="AB326" s="1">
        <v>111</v>
      </c>
      <c r="AC326" s="1">
        <v>112.83999999999999</v>
      </c>
      <c r="AD326" s="1">
        <v>109.03999999999999</v>
      </c>
      <c r="AE326" s="1">
        <v>111.58</v>
      </c>
      <c r="AF326" s="1">
        <v>115.36000000000001</v>
      </c>
      <c r="AG326" s="1">
        <f t="shared" si="36"/>
        <v>1510.2799999999997</v>
      </c>
      <c r="AH326" s="1">
        <f t="shared" si="37"/>
        <v>116.72</v>
      </c>
      <c r="AI326" s="1">
        <f t="shared" si="38"/>
        <v>349.08</v>
      </c>
      <c r="AJ326" s="1">
        <f t="shared" si="39"/>
        <v>114.03333333333335</v>
      </c>
      <c r="AK326" s="1">
        <f t="shared" si="40"/>
        <v>112.26000000000002</v>
      </c>
      <c r="AL326" s="1">
        <f t="shared" si="41"/>
        <v>781.02</v>
      </c>
    </row>
    <row r="327" spans="1:38" x14ac:dyDescent="0.3">
      <c r="A327" t="s">
        <v>30</v>
      </c>
      <c r="B327" s="1">
        <v>2014</v>
      </c>
      <c r="C327" t="s">
        <v>34</v>
      </c>
      <c r="D327" t="str">
        <f t="shared" si="35"/>
        <v>2014-April</v>
      </c>
      <c r="E327" s="1">
        <v>4</v>
      </c>
      <c r="F327" s="1">
        <v>121.5</v>
      </c>
      <c r="G327" s="1">
        <v>121.5</v>
      </c>
      <c r="H327" s="1">
        <v>115.3</v>
      </c>
      <c r="I327" s="1">
        <v>117.9</v>
      </c>
      <c r="J327" s="1">
        <v>106.34</v>
      </c>
      <c r="K327" s="1">
        <v>127.2</v>
      </c>
      <c r="L327" s="1">
        <v>123.56</v>
      </c>
      <c r="M327" s="1">
        <v>111.6</v>
      </c>
      <c r="N327" s="1">
        <v>101.94</v>
      </c>
      <c r="O327" s="1">
        <v>113.97999999999999</v>
      </c>
      <c r="P327" s="1">
        <v>113.34</v>
      </c>
      <c r="Q327" s="1">
        <v>120.42</v>
      </c>
      <c r="R327" s="1">
        <v>118.58</v>
      </c>
      <c r="S327" s="1">
        <v>117</v>
      </c>
      <c r="T327" s="1">
        <v>117.44000000000001</v>
      </c>
      <c r="U327" s="1">
        <v>114.4</v>
      </c>
      <c r="V327" s="1">
        <v>117</v>
      </c>
      <c r="W327" s="1">
        <v>114.10000000000001</v>
      </c>
      <c r="X327" s="1">
        <v>112.08</v>
      </c>
      <c r="Y327" s="1">
        <v>113.86000000000001</v>
      </c>
      <c r="Z327" s="1">
        <v>111.52000000000001</v>
      </c>
      <c r="AA327" s="1">
        <v>111.28</v>
      </c>
      <c r="AB327" s="1">
        <v>111.14000000000001</v>
      </c>
      <c r="AC327" s="1">
        <v>112.83999999999999</v>
      </c>
      <c r="AD327" s="1">
        <v>109.08</v>
      </c>
      <c r="AE327" s="1">
        <v>111.63999999999999</v>
      </c>
      <c r="AF327" s="1">
        <v>115.43999999999998</v>
      </c>
      <c r="AG327" s="1">
        <f t="shared" si="36"/>
        <v>1513.16</v>
      </c>
      <c r="AH327" s="1">
        <f t="shared" si="37"/>
        <v>117</v>
      </c>
      <c r="AI327" s="1">
        <f t="shared" si="38"/>
        <v>348.84000000000003</v>
      </c>
      <c r="AJ327" s="1">
        <f t="shared" si="39"/>
        <v>114.10000000000001</v>
      </c>
      <c r="AK327" s="1">
        <f t="shared" si="40"/>
        <v>112.08</v>
      </c>
      <c r="AL327" s="1">
        <f t="shared" si="41"/>
        <v>781.36000000000013</v>
      </c>
    </row>
    <row r="328" spans="1:38" x14ac:dyDescent="0.3">
      <c r="A328" t="s">
        <v>31</v>
      </c>
      <c r="B328" s="1">
        <v>2014</v>
      </c>
      <c r="C328" t="s">
        <v>34</v>
      </c>
      <c r="D328" t="str">
        <f t="shared" si="35"/>
        <v>2014-April</v>
      </c>
      <c r="E328" s="1">
        <v>4</v>
      </c>
      <c r="F328" s="1">
        <v>121.14</v>
      </c>
      <c r="G328" s="1">
        <v>121.48</v>
      </c>
      <c r="H328" s="1">
        <v>115.86</v>
      </c>
      <c r="I328" s="1">
        <v>118.36</v>
      </c>
      <c r="J328" s="1">
        <v>107.78</v>
      </c>
      <c r="K328" s="1">
        <v>127.02</v>
      </c>
      <c r="L328" s="1">
        <v>125.18</v>
      </c>
      <c r="M328" s="1">
        <v>111.84</v>
      </c>
      <c r="N328" s="1">
        <v>102.6</v>
      </c>
      <c r="O328" s="1">
        <v>113.38</v>
      </c>
      <c r="P328" s="1">
        <v>113.78</v>
      </c>
      <c r="Q328" s="1">
        <v>120.24000000000001</v>
      </c>
      <c r="R328" s="1">
        <v>118.84</v>
      </c>
      <c r="S328" s="1">
        <v>116.94000000000001</v>
      </c>
      <c r="T328" s="1">
        <v>118.12</v>
      </c>
      <c r="U328" s="1">
        <v>115.35999999999999</v>
      </c>
      <c r="V328" s="1">
        <v>117.71999999999998</v>
      </c>
      <c r="W328" s="1">
        <v>114.16666666666667</v>
      </c>
      <c r="X328" s="1">
        <v>112.78</v>
      </c>
      <c r="Y328" s="1">
        <v>114.16</v>
      </c>
      <c r="Z328" s="1">
        <v>111.88</v>
      </c>
      <c r="AA328" s="1">
        <v>111.48000000000002</v>
      </c>
      <c r="AB328" s="1">
        <v>111.17999999999999</v>
      </c>
      <c r="AC328" s="1">
        <v>113.2</v>
      </c>
      <c r="AD328" s="1">
        <v>108.85999999999999</v>
      </c>
      <c r="AE328" s="1">
        <v>111.82000000000001</v>
      </c>
      <c r="AF328" s="1">
        <v>115.9</v>
      </c>
      <c r="AG328" s="1">
        <f t="shared" si="36"/>
        <v>1517.4999999999998</v>
      </c>
      <c r="AH328" s="1">
        <f t="shared" si="37"/>
        <v>116.94000000000001</v>
      </c>
      <c r="AI328" s="1">
        <f t="shared" si="38"/>
        <v>351.2</v>
      </c>
      <c r="AJ328" s="1">
        <f t="shared" si="39"/>
        <v>114.16666666666667</v>
      </c>
      <c r="AK328" s="1">
        <f t="shared" si="40"/>
        <v>112.78</v>
      </c>
      <c r="AL328" s="1">
        <f t="shared" si="41"/>
        <v>782.58</v>
      </c>
    </row>
    <row r="329" spans="1:38" x14ac:dyDescent="0.3">
      <c r="A329" t="s">
        <v>28</v>
      </c>
      <c r="B329" s="1">
        <v>2014</v>
      </c>
      <c r="C329" t="s">
        <v>33</v>
      </c>
      <c r="D329" t="str">
        <f t="shared" si="35"/>
        <v>2014-March</v>
      </c>
      <c r="E329" s="1">
        <v>3</v>
      </c>
      <c r="F329" s="1">
        <v>121.12</v>
      </c>
      <c r="G329" s="1">
        <v>119.88</v>
      </c>
      <c r="H329" s="1">
        <v>118.92</v>
      </c>
      <c r="I329" s="1">
        <v>116.48</v>
      </c>
      <c r="J329" s="1">
        <v>106.36</v>
      </c>
      <c r="K329" s="1">
        <v>121.64</v>
      </c>
      <c r="L329" s="1">
        <v>117.84</v>
      </c>
      <c r="M329" s="1">
        <v>110.18</v>
      </c>
      <c r="N329" s="1">
        <v>100</v>
      </c>
      <c r="O329" s="1">
        <v>112.62</v>
      </c>
      <c r="P329" s="1">
        <v>112.82000000000001</v>
      </c>
      <c r="Q329" s="1">
        <v>119.55999999999999</v>
      </c>
      <c r="R329" s="1">
        <v>116.73999999999998</v>
      </c>
      <c r="S329" s="1">
        <v>115.9</v>
      </c>
      <c r="T329" s="1">
        <v>116.9</v>
      </c>
      <c r="U329" s="1">
        <v>113.85999999999999</v>
      </c>
      <c r="V329" s="1">
        <v>116.46000000000001</v>
      </c>
      <c r="W329" s="1">
        <v>113.43333333333334</v>
      </c>
      <c r="X329" s="1">
        <v>112.22</v>
      </c>
      <c r="Y329" s="1">
        <v>113.34</v>
      </c>
      <c r="Z329" s="1">
        <v>111.24000000000001</v>
      </c>
      <c r="AA329" s="1">
        <v>111.32000000000001</v>
      </c>
      <c r="AB329" s="1">
        <v>110.68000000000002</v>
      </c>
      <c r="AC329" s="1">
        <v>112.34</v>
      </c>
      <c r="AD329" s="1">
        <v>109.02000000000001</v>
      </c>
      <c r="AE329" s="1">
        <v>111.38</v>
      </c>
      <c r="AF329" s="1">
        <v>114.52000000000001</v>
      </c>
      <c r="AG329" s="1">
        <f t="shared" si="36"/>
        <v>1494.1599999999999</v>
      </c>
      <c r="AH329" s="1">
        <f t="shared" si="37"/>
        <v>115.9</v>
      </c>
      <c r="AI329" s="1">
        <f t="shared" si="38"/>
        <v>347.22</v>
      </c>
      <c r="AJ329" s="1">
        <f t="shared" si="39"/>
        <v>113.43333333333334</v>
      </c>
      <c r="AK329" s="1">
        <f t="shared" si="40"/>
        <v>112.22</v>
      </c>
      <c r="AL329" s="1">
        <f t="shared" si="41"/>
        <v>779.32</v>
      </c>
    </row>
    <row r="330" spans="1:38" x14ac:dyDescent="0.3">
      <c r="A330" t="s">
        <v>30</v>
      </c>
      <c r="B330" s="1">
        <v>2014</v>
      </c>
      <c r="C330" t="s">
        <v>33</v>
      </c>
      <c r="D330" t="str">
        <f t="shared" si="35"/>
        <v>2014-March</v>
      </c>
      <c r="E330" s="1">
        <v>3</v>
      </c>
      <c r="F330" s="1">
        <v>121.28</v>
      </c>
      <c r="G330" s="1">
        <v>120.24</v>
      </c>
      <c r="H330" s="1">
        <v>118.02</v>
      </c>
      <c r="I330" s="1">
        <v>116.66</v>
      </c>
      <c r="J330" s="1">
        <v>105.96</v>
      </c>
      <c r="K330" s="1">
        <v>122.94</v>
      </c>
      <c r="L330" s="1">
        <v>118.4</v>
      </c>
      <c r="M330" s="1">
        <v>110.34</v>
      </c>
      <c r="N330" s="1">
        <v>100.12</v>
      </c>
      <c r="O330" s="1">
        <v>113</v>
      </c>
      <c r="P330" s="1">
        <v>112.85999999999999</v>
      </c>
      <c r="Q330" s="1">
        <v>119.85999999999999</v>
      </c>
      <c r="R330" s="1">
        <v>117.02000000000001</v>
      </c>
      <c r="S330" s="1">
        <v>116.17999999999999</v>
      </c>
      <c r="T330" s="1">
        <v>116.88</v>
      </c>
      <c r="U330" s="1">
        <v>113.8</v>
      </c>
      <c r="V330" s="1">
        <v>116.42</v>
      </c>
      <c r="W330" s="1">
        <v>113.55000000000001</v>
      </c>
      <c r="X330" s="1">
        <v>112.04</v>
      </c>
      <c r="Y330" s="1">
        <v>113.38</v>
      </c>
      <c r="Z330" s="1">
        <v>111.25999999999999</v>
      </c>
      <c r="AA330" s="1">
        <v>111.32000000000001</v>
      </c>
      <c r="AB330" s="1">
        <v>110.82000000000001</v>
      </c>
      <c r="AC330" s="1">
        <v>112.4</v>
      </c>
      <c r="AD330" s="1">
        <v>109.04</v>
      </c>
      <c r="AE330" s="1">
        <v>111.42</v>
      </c>
      <c r="AF330" s="1">
        <v>114.62</v>
      </c>
      <c r="AG330" s="1">
        <f t="shared" si="36"/>
        <v>1496.6999999999998</v>
      </c>
      <c r="AH330" s="1">
        <f t="shared" si="37"/>
        <v>116.17999999999999</v>
      </c>
      <c r="AI330" s="1">
        <f t="shared" si="38"/>
        <v>347.1</v>
      </c>
      <c r="AJ330" s="1">
        <f t="shared" si="39"/>
        <v>113.55000000000001</v>
      </c>
      <c r="AK330" s="1">
        <f t="shared" si="40"/>
        <v>112.04</v>
      </c>
      <c r="AL330" s="1">
        <f t="shared" si="41"/>
        <v>779.63999999999987</v>
      </c>
    </row>
    <row r="331" spans="1:38" x14ac:dyDescent="0.3">
      <c r="A331" t="s">
        <v>31</v>
      </c>
      <c r="B331" s="1">
        <v>2014</v>
      </c>
      <c r="C331" t="s">
        <v>33</v>
      </c>
      <c r="D331" t="str">
        <f t="shared" si="35"/>
        <v>2014-March</v>
      </c>
      <c r="E331" s="1">
        <v>3</v>
      </c>
      <c r="F331" s="1">
        <v>120.92</v>
      </c>
      <c r="G331" s="1">
        <v>120</v>
      </c>
      <c r="H331" s="1">
        <v>117.1</v>
      </c>
      <c r="I331" s="1">
        <v>117.02</v>
      </c>
      <c r="J331" s="1">
        <v>107.42</v>
      </c>
      <c r="K331" s="1">
        <v>124.66</v>
      </c>
      <c r="L331" s="1">
        <v>120.52</v>
      </c>
      <c r="M331" s="1">
        <v>110.86</v>
      </c>
      <c r="N331" s="1">
        <v>101.56</v>
      </c>
      <c r="O331" s="1">
        <v>112.5</v>
      </c>
      <c r="P331" s="1">
        <v>113.25999999999999</v>
      </c>
      <c r="Q331" s="1">
        <v>119.6</v>
      </c>
      <c r="R331" s="1">
        <v>117.46000000000001</v>
      </c>
      <c r="S331" s="1">
        <v>116.1</v>
      </c>
      <c r="T331" s="1">
        <v>117.46000000000001</v>
      </c>
      <c r="U331" s="1">
        <v>114.73999999999998</v>
      </c>
      <c r="V331" s="1">
        <v>117.08</v>
      </c>
      <c r="W331" s="1">
        <v>113.66666666666667</v>
      </c>
      <c r="X331" s="1">
        <v>112.54</v>
      </c>
      <c r="Y331" s="1">
        <v>113.6</v>
      </c>
      <c r="Z331" s="1">
        <v>111.52000000000001</v>
      </c>
      <c r="AA331" s="1">
        <v>111.28</v>
      </c>
      <c r="AB331" s="1">
        <v>110.82000000000001</v>
      </c>
      <c r="AC331" s="1">
        <v>112.66</v>
      </c>
      <c r="AD331" s="1">
        <v>108.97999999999999</v>
      </c>
      <c r="AE331" s="1">
        <v>111.5</v>
      </c>
      <c r="AF331" s="1">
        <v>115.08</v>
      </c>
      <c r="AG331" s="1">
        <f t="shared" si="36"/>
        <v>1502.8799999999999</v>
      </c>
      <c r="AH331" s="1">
        <f t="shared" si="37"/>
        <v>116.1</v>
      </c>
      <c r="AI331" s="1">
        <f t="shared" si="38"/>
        <v>349.28</v>
      </c>
      <c r="AJ331" s="1">
        <f t="shared" si="39"/>
        <v>113.66666666666667</v>
      </c>
      <c r="AK331" s="1">
        <f t="shared" si="40"/>
        <v>112.54</v>
      </c>
      <c r="AL331" s="1">
        <f t="shared" si="41"/>
        <v>780.36</v>
      </c>
    </row>
    <row r="332" spans="1:38" x14ac:dyDescent="0.3">
      <c r="A332" t="s">
        <v>28</v>
      </c>
      <c r="B332" s="1">
        <v>2014</v>
      </c>
      <c r="C332" t="s">
        <v>32</v>
      </c>
      <c r="D332" t="str">
        <f t="shared" si="35"/>
        <v>2014-February</v>
      </c>
      <c r="E332" s="1">
        <v>2</v>
      </c>
      <c r="F332" s="1">
        <v>120.74</v>
      </c>
      <c r="G332" s="1">
        <v>119.68</v>
      </c>
      <c r="H332" s="1">
        <v>122.08</v>
      </c>
      <c r="I332" s="1">
        <v>115.52</v>
      </c>
      <c r="J332" s="1">
        <v>106.04</v>
      </c>
      <c r="K332" s="1">
        <v>116.68</v>
      </c>
      <c r="L332" s="1">
        <v>114.64</v>
      </c>
      <c r="M332" s="1">
        <v>109.28</v>
      </c>
      <c r="N332" s="1">
        <v>98.64</v>
      </c>
      <c r="O332" s="1">
        <v>112.02000000000001</v>
      </c>
      <c r="P332" s="1">
        <v>112.56000000000002</v>
      </c>
      <c r="Q332" s="1">
        <v>119.05999999999999</v>
      </c>
      <c r="R332" s="1">
        <v>115.6</v>
      </c>
      <c r="S332" s="1">
        <v>115.28000000000002</v>
      </c>
      <c r="T332" s="1">
        <v>116.41999999999999</v>
      </c>
      <c r="U332" s="1">
        <v>113.3</v>
      </c>
      <c r="V332" s="1">
        <v>115.94000000000001</v>
      </c>
      <c r="W332" s="1">
        <v>112.73333333333333</v>
      </c>
      <c r="X332" s="1">
        <v>112.2</v>
      </c>
      <c r="Y332" s="1">
        <v>112.94000000000001</v>
      </c>
      <c r="Z332" s="1">
        <v>110.83999999999999</v>
      </c>
      <c r="AA332" s="1">
        <v>111.2</v>
      </c>
      <c r="AB332" s="1">
        <v>110.28</v>
      </c>
      <c r="AC332" s="1">
        <v>111.91999999999999</v>
      </c>
      <c r="AD332" s="1">
        <v>108.84</v>
      </c>
      <c r="AE332" s="1">
        <v>111.1</v>
      </c>
      <c r="AF332" s="1">
        <v>113.8</v>
      </c>
      <c r="AG332" s="1">
        <f t="shared" si="36"/>
        <v>1482.5399999999997</v>
      </c>
      <c r="AH332" s="1">
        <f t="shared" si="37"/>
        <v>115.28000000000002</v>
      </c>
      <c r="AI332" s="1">
        <f t="shared" si="38"/>
        <v>345.65999999999997</v>
      </c>
      <c r="AJ332" s="1">
        <f t="shared" si="39"/>
        <v>112.73333333333333</v>
      </c>
      <c r="AK332" s="1">
        <f t="shared" si="40"/>
        <v>112.2</v>
      </c>
      <c r="AL332" s="1">
        <f t="shared" si="41"/>
        <v>777.12</v>
      </c>
    </row>
    <row r="333" spans="1:38" x14ac:dyDescent="0.3">
      <c r="A333" t="s">
        <v>30</v>
      </c>
      <c r="B333" s="1">
        <v>2014</v>
      </c>
      <c r="C333" t="s">
        <v>32</v>
      </c>
      <c r="D333" t="str">
        <f t="shared" si="35"/>
        <v>2014-February</v>
      </c>
      <c r="E333" s="1">
        <v>2</v>
      </c>
      <c r="F333" s="1">
        <v>121</v>
      </c>
      <c r="G333" s="1">
        <v>120</v>
      </c>
      <c r="H333" s="1">
        <v>122.04</v>
      </c>
      <c r="I333" s="1">
        <v>115.74</v>
      </c>
      <c r="J333" s="1">
        <v>105.62</v>
      </c>
      <c r="K333" s="1">
        <v>117.1</v>
      </c>
      <c r="L333" s="1">
        <v>114.7</v>
      </c>
      <c r="M333" s="1">
        <v>109.28</v>
      </c>
      <c r="N333" s="1">
        <v>98.34</v>
      </c>
      <c r="O333" s="1">
        <v>112.3</v>
      </c>
      <c r="P333" s="1">
        <v>112.52000000000001</v>
      </c>
      <c r="Q333" s="1">
        <v>119.35999999999999</v>
      </c>
      <c r="R333" s="1">
        <v>115.75999999999999</v>
      </c>
      <c r="S333" s="1">
        <v>115.47999999999999</v>
      </c>
      <c r="T333" s="1">
        <v>116.35999999999999</v>
      </c>
      <c r="U333" s="1">
        <v>113.14000000000001</v>
      </c>
      <c r="V333" s="1">
        <v>115.88</v>
      </c>
      <c r="W333" s="1">
        <v>112.85</v>
      </c>
      <c r="X333" s="1">
        <v>112.05999999999999</v>
      </c>
      <c r="Y333" s="1">
        <v>113</v>
      </c>
      <c r="Z333" s="1">
        <v>110.9</v>
      </c>
      <c r="AA333" s="1">
        <v>111.31999999999998</v>
      </c>
      <c r="AB333" s="1">
        <v>110.42</v>
      </c>
      <c r="AC333" s="1">
        <v>111.91999999999999</v>
      </c>
      <c r="AD333" s="1">
        <v>108.9</v>
      </c>
      <c r="AE333" s="1">
        <v>111.17999999999999</v>
      </c>
      <c r="AF333" s="1">
        <v>113.83999999999999</v>
      </c>
      <c r="AG333" s="1">
        <f t="shared" si="36"/>
        <v>1483.76</v>
      </c>
      <c r="AH333" s="1">
        <f t="shared" si="37"/>
        <v>115.47999999999999</v>
      </c>
      <c r="AI333" s="1">
        <f t="shared" si="38"/>
        <v>345.38</v>
      </c>
      <c r="AJ333" s="1">
        <f t="shared" si="39"/>
        <v>112.85</v>
      </c>
      <c r="AK333" s="1">
        <f t="shared" si="40"/>
        <v>112.05999999999999</v>
      </c>
      <c r="AL333" s="1">
        <f t="shared" si="41"/>
        <v>777.63999999999987</v>
      </c>
    </row>
    <row r="334" spans="1:38" x14ac:dyDescent="0.3">
      <c r="A334" t="s">
        <v>31</v>
      </c>
      <c r="B334" s="1">
        <v>2014</v>
      </c>
      <c r="C334" t="s">
        <v>32</v>
      </c>
      <c r="D334" t="str">
        <f t="shared" si="35"/>
        <v>2014-February</v>
      </c>
      <c r="E334" s="1">
        <v>2</v>
      </c>
      <c r="F334" s="1">
        <v>120.66</v>
      </c>
      <c r="G334" s="1">
        <v>119.38</v>
      </c>
      <c r="H334" s="1">
        <v>120.76</v>
      </c>
      <c r="I334" s="1">
        <v>116.1</v>
      </c>
      <c r="J334" s="1">
        <v>107.06</v>
      </c>
      <c r="K334" s="1">
        <v>119.38</v>
      </c>
      <c r="L334" s="1">
        <v>116.5</v>
      </c>
      <c r="M334" s="1">
        <v>109.84</v>
      </c>
      <c r="N334" s="1">
        <v>99.78</v>
      </c>
      <c r="O334" s="1">
        <v>111.84</v>
      </c>
      <c r="P334" s="1">
        <v>112.8</v>
      </c>
      <c r="Q334" s="1">
        <v>119.12</v>
      </c>
      <c r="R334" s="1">
        <v>116.16000000000001</v>
      </c>
      <c r="S334" s="1">
        <v>115.32000000000001</v>
      </c>
      <c r="T334" s="1">
        <v>116.92</v>
      </c>
      <c r="U334" s="1">
        <v>114.01999999999998</v>
      </c>
      <c r="V334" s="1">
        <v>116.5</v>
      </c>
      <c r="W334" s="1">
        <v>112.96666666666665</v>
      </c>
      <c r="X334" s="1">
        <v>112.52000000000001</v>
      </c>
      <c r="Y334" s="1">
        <v>113.22</v>
      </c>
      <c r="Z334" s="1">
        <v>111.17999999999999</v>
      </c>
      <c r="AA334" s="1">
        <v>111.3</v>
      </c>
      <c r="AB334" s="1">
        <v>110.46000000000001</v>
      </c>
      <c r="AC334" s="1">
        <v>112.2</v>
      </c>
      <c r="AD334" s="1">
        <v>108.94000000000001</v>
      </c>
      <c r="AE334" s="1">
        <v>111.28000000000002</v>
      </c>
      <c r="AF334" s="1">
        <v>114.3</v>
      </c>
      <c r="AG334" s="1">
        <f t="shared" si="36"/>
        <v>1489.3799999999999</v>
      </c>
      <c r="AH334" s="1">
        <f t="shared" si="37"/>
        <v>115.32000000000001</v>
      </c>
      <c r="AI334" s="1">
        <f t="shared" si="38"/>
        <v>347.44</v>
      </c>
      <c r="AJ334" s="1">
        <f t="shared" si="39"/>
        <v>112.96666666666665</v>
      </c>
      <c r="AK334" s="1">
        <f t="shared" si="40"/>
        <v>112.52000000000001</v>
      </c>
      <c r="AL334" s="1">
        <f t="shared" si="41"/>
        <v>778.58</v>
      </c>
    </row>
    <row r="335" spans="1:38" x14ac:dyDescent="0.3">
      <c r="A335" t="s">
        <v>28</v>
      </c>
      <c r="B335" s="1">
        <v>2014</v>
      </c>
      <c r="C335" t="s">
        <v>29</v>
      </c>
      <c r="D335" t="str">
        <f t="shared" si="35"/>
        <v>2014-January</v>
      </c>
      <c r="E335" s="1">
        <v>1</v>
      </c>
      <c r="F335" s="1">
        <v>120.2</v>
      </c>
      <c r="G335" s="1">
        <v>119.52</v>
      </c>
      <c r="H335" s="1">
        <v>124.04</v>
      </c>
      <c r="I335" s="1">
        <v>114.46</v>
      </c>
      <c r="J335" s="1">
        <v>106.04</v>
      </c>
      <c r="K335" s="1">
        <v>114.44</v>
      </c>
      <c r="L335" s="1">
        <v>118.5</v>
      </c>
      <c r="M335" s="1">
        <v>108.8</v>
      </c>
      <c r="N335" s="1">
        <v>99.08</v>
      </c>
      <c r="O335" s="1">
        <v>111.55999999999999</v>
      </c>
      <c r="P335" s="1">
        <v>112.36000000000001</v>
      </c>
      <c r="Q335" s="1">
        <v>118.42</v>
      </c>
      <c r="R335" s="1">
        <v>115.56000000000002</v>
      </c>
      <c r="S335" s="1">
        <v>114.92</v>
      </c>
      <c r="T335" s="1">
        <v>115.9</v>
      </c>
      <c r="U335" s="1">
        <v>113.04</v>
      </c>
      <c r="V335" s="1">
        <v>115.46</v>
      </c>
      <c r="W335" s="1">
        <v>111.89999999999999</v>
      </c>
      <c r="X335" s="1">
        <v>112.1</v>
      </c>
      <c r="Y335" s="1">
        <v>112.46000000000001</v>
      </c>
      <c r="Z335" s="1">
        <v>110.38</v>
      </c>
      <c r="AA335" s="1">
        <v>110.82000000000001</v>
      </c>
      <c r="AB335" s="1">
        <v>109.85999999999999</v>
      </c>
      <c r="AC335" s="1">
        <v>111.7</v>
      </c>
      <c r="AD335" s="1">
        <v>108.38</v>
      </c>
      <c r="AE335" s="1">
        <v>110.72</v>
      </c>
      <c r="AF335" s="1">
        <v>113.56000000000002</v>
      </c>
      <c r="AG335" s="1">
        <f t="shared" si="36"/>
        <v>1482.98</v>
      </c>
      <c r="AH335" s="1">
        <f t="shared" si="37"/>
        <v>114.92</v>
      </c>
      <c r="AI335" s="1">
        <f t="shared" si="38"/>
        <v>344.4</v>
      </c>
      <c r="AJ335" s="1">
        <f t="shared" si="39"/>
        <v>111.89999999999999</v>
      </c>
      <c r="AK335" s="1">
        <f t="shared" si="40"/>
        <v>112.1</v>
      </c>
      <c r="AL335" s="1">
        <f t="shared" si="41"/>
        <v>774.32</v>
      </c>
    </row>
    <row r="336" spans="1:38" x14ac:dyDescent="0.3">
      <c r="A336" t="s">
        <v>30</v>
      </c>
      <c r="B336" s="1">
        <v>2014</v>
      </c>
      <c r="C336" t="s">
        <v>29</v>
      </c>
      <c r="D336" t="str">
        <f t="shared" si="35"/>
        <v>2014-January</v>
      </c>
      <c r="E336" s="1">
        <v>1</v>
      </c>
      <c r="F336" s="1">
        <v>120.46</v>
      </c>
      <c r="G336" s="1">
        <v>119.94</v>
      </c>
      <c r="H336" s="1">
        <v>124.44</v>
      </c>
      <c r="I336" s="1">
        <v>114.6</v>
      </c>
      <c r="J336" s="1">
        <v>105.56</v>
      </c>
      <c r="K336" s="1">
        <v>114.42</v>
      </c>
      <c r="L336" s="1">
        <v>116.62</v>
      </c>
      <c r="M336" s="1">
        <v>108.74</v>
      </c>
      <c r="N336" s="1">
        <v>98.56</v>
      </c>
      <c r="O336" s="1">
        <v>111.8</v>
      </c>
      <c r="P336" s="1">
        <v>112.4</v>
      </c>
      <c r="Q336" s="1">
        <v>118.71999999999998</v>
      </c>
      <c r="R336" s="1">
        <v>115.42</v>
      </c>
      <c r="S336" s="1">
        <v>115.05999999999999</v>
      </c>
      <c r="T336" s="1">
        <v>115.88</v>
      </c>
      <c r="U336" s="1">
        <v>112.8</v>
      </c>
      <c r="V336" s="1">
        <v>115.4</v>
      </c>
      <c r="W336" s="1">
        <v>112.05</v>
      </c>
      <c r="X336" s="1">
        <v>111.97999999999999</v>
      </c>
      <c r="Y336" s="1">
        <v>112.5</v>
      </c>
      <c r="Z336" s="1">
        <v>110.4</v>
      </c>
      <c r="AA336" s="1">
        <v>110.94000000000001</v>
      </c>
      <c r="AB336" s="1">
        <v>109.96</v>
      </c>
      <c r="AC336" s="1">
        <v>111.7</v>
      </c>
      <c r="AD336" s="1">
        <v>108.46</v>
      </c>
      <c r="AE336" s="1">
        <v>110.78</v>
      </c>
      <c r="AF336" s="1">
        <v>113.44000000000001</v>
      </c>
      <c r="AG336" s="1">
        <f t="shared" si="36"/>
        <v>1481.68</v>
      </c>
      <c r="AH336" s="1">
        <f t="shared" si="37"/>
        <v>115.05999999999999</v>
      </c>
      <c r="AI336" s="1">
        <f t="shared" si="38"/>
        <v>344.08000000000004</v>
      </c>
      <c r="AJ336" s="1">
        <f t="shared" si="39"/>
        <v>112.05</v>
      </c>
      <c r="AK336" s="1">
        <f t="shared" si="40"/>
        <v>111.97999999999999</v>
      </c>
      <c r="AL336" s="1">
        <f t="shared" si="41"/>
        <v>774.74</v>
      </c>
    </row>
    <row r="337" spans="1:38" x14ac:dyDescent="0.3">
      <c r="A337" t="s">
        <v>31</v>
      </c>
      <c r="B337" s="1">
        <v>2014</v>
      </c>
      <c r="C337" t="s">
        <v>29</v>
      </c>
      <c r="D337" t="str">
        <f t="shared" si="35"/>
        <v>2014-January</v>
      </c>
      <c r="E337" s="1">
        <v>1</v>
      </c>
      <c r="F337" s="1">
        <v>120.24</v>
      </c>
      <c r="G337" s="1">
        <v>119.16</v>
      </c>
      <c r="H337" s="1">
        <v>122.6</v>
      </c>
      <c r="I337" s="1">
        <v>115.1</v>
      </c>
      <c r="J337" s="1">
        <v>106.84</v>
      </c>
      <c r="K337" s="1">
        <v>115.92</v>
      </c>
      <c r="L337" s="1">
        <v>116.42</v>
      </c>
      <c r="M337" s="1">
        <v>109.28</v>
      </c>
      <c r="N337" s="1">
        <v>99.42</v>
      </c>
      <c r="O337" s="1">
        <v>111.4</v>
      </c>
      <c r="P337" s="1">
        <v>112.58</v>
      </c>
      <c r="Q337" s="1">
        <v>118.58</v>
      </c>
      <c r="R337" s="1">
        <v>115.56000000000002</v>
      </c>
      <c r="S337" s="1">
        <v>114.83999999999999</v>
      </c>
      <c r="T337" s="1">
        <v>116.42</v>
      </c>
      <c r="U337" s="1">
        <v>113.52000000000001</v>
      </c>
      <c r="V337" s="1">
        <v>115.98000000000002</v>
      </c>
      <c r="W337" s="1">
        <v>112.2</v>
      </c>
      <c r="X337" s="1">
        <v>112.46</v>
      </c>
      <c r="Y337" s="1">
        <v>112.8</v>
      </c>
      <c r="Z337" s="1">
        <v>110.74000000000001</v>
      </c>
      <c r="AA337" s="1">
        <v>111.02000000000001</v>
      </c>
      <c r="AB337" s="1">
        <v>110.04</v>
      </c>
      <c r="AC337" s="1">
        <v>111.88</v>
      </c>
      <c r="AD337" s="1">
        <v>108.64000000000001</v>
      </c>
      <c r="AE337" s="1">
        <v>110.93999999999998</v>
      </c>
      <c r="AF337" s="1">
        <v>113.78</v>
      </c>
      <c r="AG337" s="1">
        <f t="shared" si="36"/>
        <v>1483.1</v>
      </c>
      <c r="AH337" s="1">
        <f t="shared" si="37"/>
        <v>114.83999999999999</v>
      </c>
      <c r="AI337" s="1">
        <f t="shared" si="38"/>
        <v>345.92</v>
      </c>
      <c r="AJ337" s="1">
        <f t="shared" si="39"/>
        <v>112.2</v>
      </c>
      <c r="AK337" s="1">
        <f t="shared" si="40"/>
        <v>112.46</v>
      </c>
      <c r="AL337" s="1">
        <f t="shared" si="41"/>
        <v>776.06</v>
      </c>
    </row>
    <row r="338" spans="1:38" x14ac:dyDescent="0.3">
      <c r="A338" t="s">
        <v>28</v>
      </c>
      <c r="B338" s="1">
        <v>2013</v>
      </c>
      <c r="C338" t="s">
        <v>43</v>
      </c>
      <c r="D338" t="str">
        <f t="shared" si="35"/>
        <v>2013-December</v>
      </c>
      <c r="E338" s="1">
        <v>12</v>
      </c>
      <c r="F338" s="1">
        <v>119.62</v>
      </c>
      <c r="G338" s="1">
        <v>117.96</v>
      </c>
      <c r="H338" s="1">
        <v>124.56</v>
      </c>
      <c r="I338" s="1">
        <v>113.6</v>
      </c>
      <c r="J338" s="1">
        <v>106.42</v>
      </c>
      <c r="K338" s="1">
        <v>113.42</v>
      </c>
      <c r="L338" s="1">
        <v>135.74</v>
      </c>
      <c r="M338" s="1">
        <v>108.48</v>
      </c>
      <c r="N338" s="1">
        <v>100.34</v>
      </c>
      <c r="O338" s="1">
        <v>111.02000000000001</v>
      </c>
      <c r="P338" s="1">
        <v>112.16</v>
      </c>
      <c r="Q338" s="1">
        <v>117.71999999999998</v>
      </c>
      <c r="R338" s="1">
        <v>117.28</v>
      </c>
      <c r="S338" s="1">
        <v>114.46000000000001</v>
      </c>
      <c r="T338" s="1">
        <v>115.3</v>
      </c>
      <c r="U338" s="1">
        <v>112.67999999999999</v>
      </c>
      <c r="V338" s="1">
        <v>114.9</v>
      </c>
      <c r="W338" s="1">
        <v>111</v>
      </c>
      <c r="X338" s="1">
        <v>111.82000000000001</v>
      </c>
      <c r="Y338" s="1">
        <v>111.91999999999999</v>
      </c>
      <c r="Z338" s="1">
        <v>109.82000000000001</v>
      </c>
      <c r="AA338" s="1">
        <v>110.14000000000001</v>
      </c>
      <c r="AB338" s="1">
        <v>109.3</v>
      </c>
      <c r="AC338" s="1">
        <v>111.55999999999999</v>
      </c>
      <c r="AD338" s="1">
        <v>108</v>
      </c>
      <c r="AE338" s="1">
        <v>110.2</v>
      </c>
      <c r="AF338" s="1">
        <v>114.08</v>
      </c>
      <c r="AG338" s="1">
        <f t="shared" si="36"/>
        <v>1498.32</v>
      </c>
      <c r="AH338" s="1">
        <f t="shared" si="37"/>
        <v>114.46000000000001</v>
      </c>
      <c r="AI338" s="1">
        <f t="shared" si="38"/>
        <v>342.88</v>
      </c>
      <c r="AJ338" s="1">
        <f t="shared" si="39"/>
        <v>111</v>
      </c>
      <c r="AK338" s="1">
        <f t="shared" si="40"/>
        <v>111.82000000000001</v>
      </c>
      <c r="AL338" s="1">
        <f t="shared" si="41"/>
        <v>770.94</v>
      </c>
    </row>
    <row r="339" spans="1:38" x14ac:dyDescent="0.3">
      <c r="A339" t="s">
        <v>30</v>
      </c>
      <c r="B339" s="1">
        <v>2013</v>
      </c>
      <c r="C339" t="s">
        <v>43</v>
      </c>
      <c r="D339" t="str">
        <f t="shared" si="35"/>
        <v>2013-December</v>
      </c>
      <c r="E339" s="1">
        <v>12</v>
      </c>
      <c r="F339" s="1">
        <v>119.86</v>
      </c>
      <c r="G339" s="1">
        <v>118.54</v>
      </c>
      <c r="H339" s="1">
        <v>125.3</v>
      </c>
      <c r="I339" s="1">
        <v>113.66</v>
      </c>
      <c r="J339" s="1">
        <v>105.88</v>
      </c>
      <c r="K339" s="1">
        <v>113.1</v>
      </c>
      <c r="L339" s="1">
        <v>131.04</v>
      </c>
      <c r="M339" s="1">
        <v>108.36</v>
      </c>
      <c r="N339" s="1">
        <v>99.8</v>
      </c>
      <c r="O339" s="1">
        <v>111.25999999999999</v>
      </c>
      <c r="P339" s="1">
        <v>112.2</v>
      </c>
      <c r="Q339" s="1">
        <v>117.97999999999999</v>
      </c>
      <c r="R339" s="1">
        <v>116.7</v>
      </c>
      <c r="S339" s="1">
        <v>114.64000000000001</v>
      </c>
      <c r="T339" s="1">
        <v>115.3</v>
      </c>
      <c r="U339" s="1">
        <v>112.52000000000001</v>
      </c>
      <c r="V339" s="1">
        <v>114.88</v>
      </c>
      <c r="W339" s="1">
        <v>111.15</v>
      </c>
      <c r="X339" s="1">
        <v>111.7</v>
      </c>
      <c r="Y339" s="1">
        <v>111.96</v>
      </c>
      <c r="Z339" s="1">
        <v>109.85999999999999</v>
      </c>
      <c r="AA339" s="1">
        <v>110.3</v>
      </c>
      <c r="AB339" s="1">
        <v>109.4</v>
      </c>
      <c r="AC339" s="1">
        <v>111.55999999999999</v>
      </c>
      <c r="AD339" s="1">
        <v>108.02000000000001</v>
      </c>
      <c r="AE339" s="1">
        <v>110.3</v>
      </c>
      <c r="AF339" s="1">
        <v>113.7</v>
      </c>
      <c r="AG339" s="1">
        <f t="shared" si="36"/>
        <v>1493.68</v>
      </c>
      <c r="AH339" s="1">
        <f t="shared" si="37"/>
        <v>114.64000000000001</v>
      </c>
      <c r="AI339" s="1">
        <f t="shared" si="38"/>
        <v>342.7</v>
      </c>
      <c r="AJ339" s="1">
        <f t="shared" si="39"/>
        <v>111.15</v>
      </c>
      <c r="AK339" s="1">
        <f t="shared" si="40"/>
        <v>111.7</v>
      </c>
      <c r="AL339" s="1">
        <f t="shared" si="41"/>
        <v>771.39999999999986</v>
      </c>
    </row>
    <row r="340" spans="1:38" x14ac:dyDescent="0.3">
      <c r="A340" t="s">
        <v>31</v>
      </c>
      <c r="B340" s="1">
        <v>2013</v>
      </c>
      <c r="C340" t="s">
        <v>43</v>
      </c>
      <c r="D340" t="str">
        <f t="shared" si="35"/>
        <v>2013-December</v>
      </c>
      <c r="E340" s="1">
        <v>12</v>
      </c>
      <c r="F340" s="1">
        <v>119.64</v>
      </c>
      <c r="G340" s="1">
        <v>118.46</v>
      </c>
      <c r="H340" s="1">
        <v>123.84</v>
      </c>
      <c r="I340" s="1">
        <v>114.1</v>
      </c>
      <c r="J340" s="1">
        <v>107</v>
      </c>
      <c r="K340" s="1">
        <v>114.28</v>
      </c>
      <c r="L340" s="1">
        <v>125.28</v>
      </c>
      <c r="M340" s="1">
        <v>108.9</v>
      </c>
      <c r="N340" s="1">
        <v>100.3</v>
      </c>
      <c r="O340" s="1">
        <v>110.96</v>
      </c>
      <c r="P340" s="1">
        <v>112.36000000000001</v>
      </c>
      <c r="Q340" s="1">
        <v>117.91999999999999</v>
      </c>
      <c r="R340" s="1">
        <v>116.2</v>
      </c>
      <c r="S340" s="1">
        <v>114.47999999999999</v>
      </c>
      <c r="T340" s="1">
        <v>115.88</v>
      </c>
      <c r="U340" s="1">
        <v>113.24000000000001</v>
      </c>
      <c r="V340" s="1">
        <v>115.48000000000002</v>
      </c>
      <c r="W340" s="1">
        <v>111.3</v>
      </c>
      <c r="X340" s="1">
        <v>112.25999999999999</v>
      </c>
      <c r="Y340" s="1">
        <v>112.28000000000002</v>
      </c>
      <c r="Z340" s="1">
        <v>110.24000000000001</v>
      </c>
      <c r="AA340" s="1">
        <v>110.52000000000001</v>
      </c>
      <c r="AB340" s="1">
        <v>109.6</v>
      </c>
      <c r="AC340" s="1">
        <v>111.67999999999999</v>
      </c>
      <c r="AD340" s="1">
        <v>108.22</v>
      </c>
      <c r="AE340" s="1">
        <v>110.52000000000001</v>
      </c>
      <c r="AF340" s="1">
        <v>113.84</v>
      </c>
      <c r="AG340" s="1">
        <f t="shared" si="36"/>
        <v>1489.24</v>
      </c>
      <c r="AH340" s="1">
        <f t="shared" si="37"/>
        <v>114.47999999999999</v>
      </c>
      <c r="AI340" s="1">
        <f t="shared" si="38"/>
        <v>344.6</v>
      </c>
      <c r="AJ340" s="1">
        <f t="shared" si="39"/>
        <v>111.3</v>
      </c>
      <c r="AK340" s="1">
        <f t="shared" si="40"/>
        <v>112.25999999999999</v>
      </c>
      <c r="AL340" s="1">
        <f t="shared" si="41"/>
        <v>773.06000000000006</v>
      </c>
    </row>
    <row r="341" spans="1:38" x14ac:dyDescent="0.3">
      <c r="A341" t="s">
        <v>28</v>
      </c>
      <c r="B341" s="1">
        <v>2013</v>
      </c>
      <c r="C341" t="s">
        <v>41</v>
      </c>
      <c r="D341" t="str">
        <f t="shared" si="35"/>
        <v xml:space="preserve">2013-November </v>
      </c>
      <c r="E341" s="1">
        <v>11</v>
      </c>
      <c r="F341" s="1">
        <v>118.82</v>
      </c>
      <c r="G341" s="1">
        <v>116.12</v>
      </c>
      <c r="H341" s="1">
        <v>121.28</v>
      </c>
      <c r="I341" s="1">
        <v>112.78</v>
      </c>
      <c r="J341" s="1">
        <v>106.36</v>
      </c>
      <c r="K341" s="1">
        <v>113.26</v>
      </c>
      <c r="L341" s="1">
        <v>168.9</v>
      </c>
      <c r="M341" s="1">
        <v>108.04</v>
      </c>
      <c r="N341" s="1">
        <v>101.36</v>
      </c>
      <c r="O341" s="1">
        <v>110.08000000000001</v>
      </c>
      <c r="P341" s="1">
        <v>111.92</v>
      </c>
      <c r="Q341" s="1">
        <v>116.9</v>
      </c>
      <c r="R341" s="1">
        <v>120.9</v>
      </c>
      <c r="S341" s="1">
        <v>113.72</v>
      </c>
      <c r="T341" s="1">
        <v>114.46000000000001</v>
      </c>
      <c r="U341" s="1">
        <v>112.03999999999999</v>
      </c>
      <c r="V341" s="1">
        <v>114.08</v>
      </c>
      <c r="W341" s="1">
        <v>110.96666666666665</v>
      </c>
      <c r="X341" s="1">
        <v>111.47999999999999</v>
      </c>
      <c r="Y341" s="1">
        <v>111.33999999999999</v>
      </c>
      <c r="Z341" s="1">
        <v>109.34</v>
      </c>
      <c r="AA341" s="1">
        <v>109.64000000000001</v>
      </c>
      <c r="AB341" s="1">
        <v>108.78</v>
      </c>
      <c r="AC341" s="1">
        <v>111.3</v>
      </c>
      <c r="AD341" s="1">
        <v>108.00000000000003</v>
      </c>
      <c r="AE341" s="1">
        <v>109.79999999999998</v>
      </c>
      <c r="AF341" s="1">
        <v>115.5</v>
      </c>
      <c r="AG341" s="1">
        <f t="shared" si="36"/>
        <v>1526.72</v>
      </c>
      <c r="AH341" s="1">
        <f t="shared" si="37"/>
        <v>113.72</v>
      </c>
      <c r="AI341" s="1">
        <f t="shared" si="38"/>
        <v>340.58</v>
      </c>
      <c r="AJ341" s="1">
        <f t="shared" si="39"/>
        <v>110.96666666666665</v>
      </c>
      <c r="AK341" s="1">
        <f t="shared" si="40"/>
        <v>111.47999999999999</v>
      </c>
      <c r="AL341" s="1">
        <f t="shared" si="41"/>
        <v>768.19999999999993</v>
      </c>
    </row>
    <row r="342" spans="1:38" x14ac:dyDescent="0.3">
      <c r="A342" t="s">
        <v>30</v>
      </c>
      <c r="B342" s="1">
        <v>2013</v>
      </c>
      <c r="C342" t="s">
        <v>42</v>
      </c>
      <c r="D342" t="str">
        <f t="shared" si="35"/>
        <v>2013-November</v>
      </c>
      <c r="E342" s="1">
        <v>11</v>
      </c>
      <c r="F342" s="1">
        <v>119.18</v>
      </c>
      <c r="G342" s="1">
        <v>116.48</v>
      </c>
      <c r="H342" s="1">
        <v>122.74</v>
      </c>
      <c r="I342" s="1">
        <v>112.9</v>
      </c>
      <c r="J342" s="1">
        <v>106.04</v>
      </c>
      <c r="K342" s="1">
        <v>112.6</v>
      </c>
      <c r="L342" s="1">
        <v>162.36000000000001</v>
      </c>
      <c r="M342" s="1">
        <v>107.96</v>
      </c>
      <c r="N342" s="1">
        <v>100.94</v>
      </c>
      <c r="O342" s="1">
        <v>110.38</v>
      </c>
      <c r="P342" s="1">
        <v>111.97999999999999</v>
      </c>
      <c r="Q342" s="1">
        <v>117.17999999999999</v>
      </c>
      <c r="R342" s="1">
        <v>120.08</v>
      </c>
      <c r="S342" s="1">
        <v>113.96</v>
      </c>
      <c r="T342" s="1">
        <v>114.58</v>
      </c>
      <c r="U342" s="1">
        <v>111.96000000000001</v>
      </c>
      <c r="V342" s="1">
        <v>114.16</v>
      </c>
      <c r="W342" s="1">
        <v>110.89999999999999</v>
      </c>
      <c r="X342" s="1">
        <v>111.33999999999999</v>
      </c>
      <c r="Y342" s="1">
        <v>111.42</v>
      </c>
      <c r="Z342" s="1">
        <v>109.34</v>
      </c>
      <c r="AA342" s="1">
        <v>109.67999999999999</v>
      </c>
      <c r="AB342" s="1">
        <v>108.84</v>
      </c>
      <c r="AC342" s="1">
        <v>111.4</v>
      </c>
      <c r="AD342" s="1">
        <v>107.94000000000001</v>
      </c>
      <c r="AE342" s="1">
        <v>109.84</v>
      </c>
      <c r="AF342" s="1">
        <v>114.92</v>
      </c>
      <c r="AG342" s="1">
        <f t="shared" si="36"/>
        <v>1520.82</v>
      </c>
      <c r="AH342" s="1">
        <f t="shared" si="37"/>
        <v>113.96</v>
      </c>
      <c r="AI342" s="1">
        <f t="shared" si="38"/>
        <v>340.70000000000005</v>
      </c>
      <c r="AJ342" s="1">
        <f t="shared" si="39"/>
        <v>110.89999999999999</v>
      </c>
      <c r="AK342" s="1">
        <f t="shared" si="40"/>
        <v>111.33999999999999</v>
      </c>
      <c r="AL342" s="1">
        <f t="shared" si="41"/>
        <v>768.46</v>
      </c>
    </row>
    <row r="343" spans="1:38" x14ac:dyDescent="0.3">
      <c r="A343" t="s">
        <v>31</v>
      </c>
      <c r="B343" s="1">
        <v>2013</v>
      </c>
      <c r="C343" t="s">
        <v>42</v>
      </c>
      <c r="D343" t="str">
        <f t="shared" si="35"/>
        <v>2013-November</v>
      </c>
      <c r="E343" s="1">
        <v>11</v>
      </c>
      <c r="F343" s="1">
        <v>119</v>
      </c>
      <c r="G343" s="1">
        <v>116.64</v>
      </c>
      <c r="H343" s="1">
        <v>122.32</v>
      </c>
      <c r="I343" s="1">
        <v>113.38</v>
      </c>
      <c r="J343" s="1">
        <v>107.2</v>
      </c>
      <c r="K343" s="1">
        <v>113.7</v>
      </c>
      <c r="L343" s="1">
        <v>148.58000000000001</v>
      </c>
      <c r="M343" s="1">
        <v>108.62</v>
      </c>
      <c r="N343" s="1">
        <v>101.4</v>
      </c>
      <c r="O343" s="1">
        <v>110.36000000000001</v>
      </c>
      <c r="P343" s="1">
        <v>112.1</v>
      </c>
      <c r="Q343" s="1">
        <v>117.21999999999998</v>
      </c>
      <c r="R343" s="1">
        <v>118.7</v>
      </c>
      <c r="S343" s="1">
        <v>113.94000000000001</v>
      </c>
      <c r="T343" s="1">
        <v>115.17999999999999</v>
      </c>
      <c r="U343" s="1">
        <v>112.8</v>
      </c>
      <c r="V343" s="1">
        <v>114.8</v>
      </c>
      <c r="W343" s="1">
        <v>110.83333333333333</v>
      </c>
      <c r="X343" s="1">
        <v>111.93999999999998</v>
      </c>
      <c r="Y343" s="1">
        <v>111.75999999999999</v>
      </c>
      <c r="Z343" s="1">
        <v>109.73999999999998</v>
      </c>
      <c r="AA343" s="1">
        <v>109.88000000000002</v>
      </c>
      <c r="AB343" s="1">
        <v>109.06000000000002</v>
      </c>
      <c r="AC343" s="1">
        <v>111.5</v>
      </c>
      <c r="AD343" s="1">
        <v>108.01999999999998</v>
      </c>
      <c r="AE343" s="1">
        <v>110.04</v>
      </c>
      <c r="AF343" s="1">
        <v>114.76000000000002</v>
      </c>
      <c r="AG343" s="1">
        <f t="shared" si="36"/>
        <v>1509.2200000000003</v>
      </c>
      <c r="AH343" s="1">
        <f t="shared" si="37"/>
        <v>113.94000000000001</v>
      </c>
      <c r="AI343" s="1">
        <f t="shared" si="38"/>
        <v>342.78</v>
      </c>
      <c r="AJ343" s="1">
        <f t="shared" si="39"/>
        <v>110.83333333333333</v>
      </c>
      <c r="AK343" s="1">
        <f t="shared" si="40"/>
        <v>111.93999999999998</v>
      </c>
      <c r="AL343" s="1">
        <f t="shared" si="41"/>
        <v>770</v>
      </c>
    </row>
    <row r="344" spans="1:38" x14ac:dyDescent="0.3">
      <c r="A344" t="s">
        <v>28</v>
      </c>
      <c r="B344" s="1">
        <v>2013</v>
      </c>
      <c r="C344" t="s">
        <v>40</v>
      </c>
      <c r="D344" t="str">
        <f t="shared" si="35"/>
        <v>2013-October</v>
      </c>
      <c r="E344" s="1">
        <v>10</v>
      </c>
      <c r="F344" s="1">
        <v>117.88</v>
      </c>
      <c r="G344" s="1">
        <v>116.2</v>
      </c>
      <c r="H344" s="1">
        <v>115.84</v>
      </c>
      <c r="I344" s="1">
        <v>111.62</v>
      </c>
      <c r="J344" s="1">
        <v>105.56</v>
      </c>
      <c r="K344" s="1">
        <v>111.18</v>
      </c>
      <c r="L344" s="1">
        <v>178.1</v>
      </c>
      <c r="M344" s="1">
        <v>107.26</v>
      </c>
      <c r="N344" s="1">
        <v>101.98</v>
      </c>
      <c r="O344" s="1">
        <v>109.16</v>
      </c>
      <c r="P344" s="1">
        <v>111.46</v>
      </c>
      <c r="Q344" s="1">
        <v>115.88</v>
      </c>
      <c r="R344" s="1">
        <v>121.24000000000001</v>
      </c>
      <c r="S344" s="1">
        <v>113.02000000000001</v>
      </c>
      <c r="T344" s="1">
        <v>113.47999999999999</v>
      </c>
      <c r="U344" s="1">
        <v>111.31999999999998</v>
      </c>
      <c r="V344" s="1">
        <v>113.12</v>
      </c>
      <c r="W344" s="1">
        <v>110.7</v>
      </c>
      <c r="X344" s="1">
        <v>110.96000000000001</v>
      </c>
      <c r="Y344" s="1">
        <v>110.62</v>
      </c>
      <c r="Z344" s="1">
        <v>108.8</v>
      </c>
      <c r="AA344" s="1">
        <v>109.52000000000001</v>
      </c>
      <c r="AB344" s="1">
        <v>108.31999999999998</v>
      </c>
      <c r="AC344" s="1">
        <v>110.92</v>
      </c>
      <c r="AD344" s="1">
        <v>107.66000000000001</v>
      </c>
      <c r="AE344" s="1">
        <v>109.42</v>
      </c>
      <c r="AF344" s="1">
        <v>115.34</v>
      </c>
      <c r="AG344" s="1">
        <f t="shared" si="36"/>
        <v>1523.36</v>
      </c>
      <c r="AH344" s="1">
        <f t="shared" si="37"/>
        <v>113.02000000000001</v>
      </c>
      <c r="AI344" s="1">
        <f t="shared" si="38"/>
        <v>337.91999999999996</v>
      </c>
      <c r="AJ344" s="1">
        <f t="shared" si="39"/>
        <v>110.7</v>
      </c>
      <c r="AK344" s="1">
        <f t="shared" si="40"/>
        <v>110.96000000000001</v>
      </c>
      <c r="AL344" s="1">
        <f t="shared" si="41"/>
        <v>765.26</v>
      </c>
    </row>
    <row r="345" spans="1:38" x14ac:dyDescent="0.3">
      <c r="A345" t="s">
        <v>30</v>
      </c>
      <c r="B345" s="1">
        <v>2013</v>
      </c>
      <c r="C345" t="s">
        <v>40</v>
      </c>
      <c r="D345" t="str">
        <f t="shared" si="35"/>
        <v>2013-October</v>
      </c>
      <c r="E345" s="1">
        <v>10</v>
      </c>
      <c r="F345" s="1">
        <v>118.24</v>
      </c>
      <c r="G345" s="1">
        <v>116.2</v>
      </c>
      <c r="H345" s="1">
        <v>117.06</v>
      </c>
      <c r="I345" s="1">
        <v>111.78</v>
      </c>
      <c r="J345" s="1">
        <v>105.38</v>
      </c>
      <c r="K345" s="1">
        <v>111.24</v>
      </c>
      <c r="L345" s="1">
        <v>181.74</v>
      </c>
      <c r="M345" s="1">
        <v>107.24</v>
      </c>
      <c r="N345" s="1">
        <v>101.64</v>
      </c>
      <c r="O345" s="1">
        <v>109.4</v>
      </c>
      <c r="P345" s="1">
        <v>111.6</v>
      </c>
      <c r="Q345" s="1">
        <v>116.2</v>
      </c>
      <c r="R345" s="1">
        <v>121.8</v>
      </c>
      <c r="S345" s="1">
        <v>113.2</v>
      </c>
      <c r="T345" s="1">
        <v>113.6</v>
      </c>
      <c r="U345" s="1">
        <v>111.24000000000001</v>
      </c>
      <c r="V345" s="1">
        <v>113.2</v>
      </c>
      <c r="W345" s="1">
        <v>110.80000000000001</v>
      </c>
      <c r="X345" s="1">
        <v>110.96000000000001</v>
      </c>
      <c r="Y345" s="1">
        <v>110.76000000000002</v>
      </c>
      <c r="Z345" s="1">
        <v>108.88</v>
      </c>
      <c r="AA345" s="1">
        <v>109.55999999999999</v>
      </c>
      <c r="AB345" s="1">
        <v>108.38</v>
      </c>
      <c r="AC345" s="1">
        <v>111.12</v>
      </c>
      <c r="AD345" s="1">
        <v>107.78</v>
      </c>
      <c r="AE345" s="1">
        <v>109.54</v>
      </c>
      <c r="AF345" s="1">
        <v>115.5</v>
      </c>
      <c r="AG345" s="1">
        <f t="shared" si="36"/>
        <v>1529.52</v>
      </c>
      <c r="AH345" s="1">
        <f t="shared" si="37"/>
        <v>113.2</v>
      </c>
      <c r="AI345" s="1">
        <f t="shared" si="38"/>
        <v>338.04</v>
      </c>
      <c r="AJ345" s="1">
        <f t="shared" si="39"/>
        <v>110.80000000000001</v>
      </c>
      <c r="AK345" s="1">
        <f t="shared" si="40"/>
        <v>110.96000000000001</v>
      </c>
      <c r="AL345" s="1">
        <f t="shared" si="41"/>
        <v>766.02</v>
      </c>
    </row>
    <row r="346" spans="1:38" x14ac:dyDescent="0.3">
      <c r="A346" t="s">
        <v>31</v>
      </c>
      <c r="B346" s="1">
        <v>2013</v>
      </c>
      <c r="C346" t="s">
        <v>40</v>
      </c>
      <c r="D346" t="str">
        <f t="shared" si="35"/>
        <v>2013-October</v>
      </c>
      <c r="E346" s="1">
        <v>10</v>
      </c>
      <c r="F346" s="1">
        <v>118.14</v>
      </c>
      <c r="G346" s="1">
        <v>115.76</v>
      </c>
      <c r="H346" s="1">
        <v>118.24</v>
      </c>
      <c r="I346" s="1">
        <v>112.46</v>
      </c>
      <c r="J346" s="1">
        <v>106.82</v>
      </c>
      <c r="K346" s="1">
        <v>113.1</v>
      </c>
      <c r="L346" s="1">
        <v>174.18</v>
      </c>
      <c r="M346" s="1">
        <v>108.08</v>
      </c>
      <c r="N346" s="1">
        <v>102.18</v>
      </c>
      <c r="O346" s="1">
        <v>109.43999999999998</v>
      </c>
      <c r="P346" s="1">
        <v>111.74000000000001</v>
      </c>
      <c r="Q346" s="1">
        <v>116.35999999999999</v>
      </c>
      <c r="R346" s="1">
        <v>121.38000000000002</v>
      </c>
      <c r="S346" s="1">
        <v>113.22</v>
      </c>
      <c r="T346" s="1">
        <v>114.25999999999999</v>
      </c>
      <c r="U346" s="1">
        <v>112.1</v>
      </c>
      <c r="V346" s="1">
        <v>113.9</v>
      </c>
      <c r="W346" s="1">
        <v>110.89999999999999</v>
      </c>
      <c r="X346" s="1">
        <v>111.58</v>
      </c>
      <c r="Y346" s="1">
        <v>111.14000000000001</v>
      </c>
      <c r="Z346" s="1">
        <v>109.25999999999999</v>
      </c>
      <c r="AA346" s="1">
        <v>109.6</v>
      </c>
      <c r="AB346" s="1">
        <v>108.62</v>
      </c>
      <c r="AC346" s="1">
        <v>111.17999999999999</v>
      </c>
      <c r="AD346" s="1">
        <v>107.94000000000001</v>
      </c>
      <c r="AE346" s="1">
        <v>109.67999999999999</v>
      </c>
      <c r="AF346" s="1">
        <v>115.8</v>
      </c>
      <c r="AG346" s="1">
        <f t="shared" si="36"/>
        <v>1527.88</v>
      </c>
      <c r="AH346" s="1">
        <f t="shared" si="37"/>
        <v>113.22</v>
      </c>
      <c r="AI346" s="1">
        <f t="shared" si="38"/>
        <v>340.26</v>
      </c>
      <c r="AJ346" s="1">
        <f t="shared" si="39"/>
        <v>110.89999999999999</v>
      </c>
      <c r="AK346" s="1">
        <f t="shared" si="40"/>
        <v>111.58</v>
      </c>
      <c r="AL346" s="1">
        <f t="shared" si="41"/>
        <v>767.42</v>
      </c>
    </row>
    <row r="347" spans="1:38" x14ac:dyDescent="0.3">
      <c r="A347" t="s">
        <v>28</v>
      </c>
      <c r="B347" s="1">
        <v>2013</v>
      </c>
      <c r="C347" t="s">
        <v>39</v>
      </c>
      <c r="D347" t="str">
        <f t="shared" si="35"/>
        <v>2013-September</v>
      </c>
      <c r="E347" s="1">
        <v>9</v>
      </c>
      <c r="F347" s="1">
        <v>117.12</v>
      </c>
      <c r="G347" s="1">
        <v>117.04</v>
      </c>
      <c r="H347" s="1">
        <v>112.86</v>
      </c>
      <c r="I347" s="1">
        <v>110.64</v>
      </c>
      <c r="J347" s="1">
        <v>104.88</v>
      </c>
      <c r="K347" s="1">
        <v>108.16</v>
      </c>
      <c r="L347" s="1">
        <v>167.52</v>
      </c>
      <c r="M347" s="1">
        <v>106.78</v>
      </c>
      <c r="N347" s="1">
        <v>102.44</v>
      </c>
      <c r="O347" s="1">
        <v>108.62</v>
      </c>
      <c r="P347" s="1">
        <v>110.93999999999998</v>
      </c>
      <c r="Q347" s="1">
        <v>114.97999999999999</v>
      </c>
      <c r="R347" s="1">
        <v>119.17999999999999</v>
      </c>
      <c r="S347" s="1">
        <v>112.46</v>
      </c>
      <c r="T347" s="1">
        <v>112.47999999999999</v>
      </c>
      <c r="U347" s="1">
        <v>110.56000000000002</v>
      </c>
      <c r="V347" s="1">
        <v>112.17999999999999</v>
      </c>
      <c r="W347" s="1">
        <v>109.96666666666665</v>
      </c>
      <c r="X347" s="1">
        <v>110.48000000000002</v>
      </c>
      <c r="Y347" s="1">
        <v>109.88</v>
      </c>
      <c r="Z347" s="1">
        <v>108.28</v>
      </c>
      <c r="AA347" s="1">
        <v>109.72</v>
      </c>
      <c r="AB347" s="1">
        <v>107.78000000000002</v>
      </c>
      <c r="AC347" s="1">
        <v>110.62</v>
      </c>
      <c r="AD347" s="1">
        <v>107.04</v>
      </c>
      <c r="AE347" s="1">
        <v>109.12</v>
      </c>
      <c r="AF347" s="1">
        <v>114.12</v>
      </c>
      <c r="AG347" s="1">
        <f t="shared" si="36"/>
        <v>1501.16</v>
      </c>
      <c r="AH347" s="1">
        <f t="shared" si="37"/>
        <v>112.46</v>
      </c>
      <c r="AI347" s="1">
        <f t="shared" si="38"/>
        <v>335.22</v>
      </c>
      <c r="AJ347" s="1">
        <f t="shared" si="39"/>
        <v>109.96666666666665</v>
      </c>
      <c r="AK347" s="1">
        <f t="shared" si="40"/>
        <v>110.48000000000002</v>
      </c>
      <c r="AL347" s="1">
        <f t="shared" si="41"/>
        <v>762.43999999999994</v>
      </c>
    </row>
    <row r="348" spans="1:38" x14ac:dyDescent="0.3">
      <c r="A348" t="s">
        <v>30</v>
      </c>
      <c r="B348" s="1">
        <v>2013</v>
      </c>
      <c r="C348" t="s">
        <v>39</v>
      </c>
      <c r="D348" t="str">
        <f t="shared" si="35"/>
        <v>2013-September</v>
      </c>
      <c r="E348" s="1">
        <v>9</v>
      </c>
      <c r="F348" s="1">
        <v>117.46</v>
      </c>
      <c r="G348" s="1">
        <v>117.16</v>
      </c>
      <c r="H348" s="1">
        <v>113.18</v>
      </c>
      <c r="I348" s="1">
        <v>110.68</v>
      </c>
      <c r="J348" s="1">
        <v>104.54</v>
      </c>
      <c r="K348" s="1">
        <v>107.96</v>
      </c>
      <c r="L348" s="1">
        <v>170.96</v>
      </c>
      <c r="M348" s="1">
        <v>106.62</v>
      </c>
      <c r="N348" s="1">
        <v>102.14</v>
      </c>
      <c r="O348" s="1">
        <v>108.78</v>
      </c>
      <c r="P348" s="1">
        <v>111.1</v>
      </c>
      <c r="Q348" s="1">
        <v>115.25999999999999</v>
      </c>
      <c r="R348" s="1">
        <v>119.66000000000001</v>
      </c>
      <c r="S348" s="1">
        <v>112.62</v>
      </c>
      <c r="T348" s="1">
        <v>112.58000000000001</v>
      </c>
      <c r="U348" s="1">
        <v>110.52000000000001</v>
      </c>
      <c r="V348" s="1">
        <v>112.23999999999998</v>
      </c>
      <c r="W348" s="1">
        <v>110.1</v>
      </c>
      <c r="X348" s="1">
        <v>110.44000000000001</v>
      </c>
      <c r="Y348" s="1">
        <v>110.02000000000001</v>
      </c>
      <c r="Z348" s="1">
        <v>108.33999999999999</v>
      </c>
      <c r="AA348" s="1">
        <v>109.75999999999999</v>
      </c>
      <c r="AB348" s="1">
        <v>107.85999999999999</v>
      </c>
      <c r="AC348" s="1">
        <v>110.82000000000001</v>
      </c>
      <c r="AD348" s="1">
        <v>107.17999999999999</v>
      </c>
      <c r="AE348" s="1">
        <v>109.22</v>
      </c>
      <c r="AF348" s="1">
        <v>114.23999999999998</v>
      </c>
      <c r="AG348" s="1">
        <f t="shared" si="36"/>
        <v>1505.5</v>
      </c>
      <c r="AH348" s="1">
        <f t="shared" si="37"/>
        <v>112.62</v>
      </c>
      <c r="AI348" s="1">
        <f t="shared" si="38"/>
        <v>335.34000000000003</v>
      </c>
      <c r="AJ348" s="1">
        <f t="shared" si="39"/>
        <v>110.1</v>
      </c>
      <c r="AK348" s="1">
        <f t="shared" si="40"/>
        <v>110.44000000000001</v>
      </c>
      <c r="AL348" s="1">
        <f t="shared" si="41"/>
        <v>763.2</v>
      </c>
    </row>
    <row r="349" spans="1:38" x14ac:dyDescent="0.3">
      <c r="A349" t="s">
        <v>31</v>
      </c>
      <c r="B349" s="1">
        <v>2013</v>
      </c>
      <c r="C349" t="s">
        <v>39</v>
      </c>
      <c r="D349" t="str">
        <f t="shared" si="35"/>
        <v>2013-September</v>
      </c>
      <c r="E349" s="1">
        <v>9</v>
      </c>
      <c r="F349" s="1">
        <v>117.2</v>
      </c>
      <c r="G349" s="1">
        <v>116.32</v>
      </c>
      <c r="H349" s="1">
        <v>113.78</v>
      </c>
      <c r="I349" s="1">
        <v>111.32</v>
      </c>
      <c r="J349" s="1">
        <v>105.98</v>
      </c>
      <c r="K349" s="1">
        <v>110.64</v>
      </c>
      <c r="L349" s="1">
        <v>171.72</v>
      </c>
      <c r="M349" s="1">
        <v>107.42</v>
      </c>
      <c r="N349" s="1">
        <v>102.7</v>
      </c>
      <c r="O349" s="1">
        <v>108.75999999999999</v>
      </c>
      <c r="P349" s="1">
        <v>111.24000000000001</v>
      </c>
      <c r="Q349" s="1">
        <v>115.38</v>
      </c>
      <c r="R349" s="1">
        <v>120.31999999999998</v>
      </c>
      <c r="S349" s="1">
        <v>112.6</v>
      </c>
      <c r="T349" s="1">
        <v>113.22</v>
      </c>
      <c r="U349" s="1">
        <v>111.33999999999999</v>
      </c>
      <c r="V349" s="1">
        <v>112.9</v>
      </c>
      <c r="W349" s="1">
        <v>110.23333333333333</v>
      </c>
      <c r="X349" s="1">
        <v>111.06000000000002</v>
      </c>
      <c r="Y349" s="1">
        <v>110.35999999999999</v>
      </c>
      <c r="Z349" s="1">
        <v>108.7</v>
      </c>
      <c r="AA349" s="1">
        <v>109.6</v>
      </c>
      <c r="AB349" s="1">
        <v>108.12</v>
      </c>
      <c r="AC349" s="1">
        <v>110.78000000000002</v>
      </c>
      <c r="AD349" s="1">
        <v>107.44000000000001</v>
      </c>
      <c r="AE349" s="1">
        <v>109.3</v>
      </c>
      <c r="AF349" s="1">
        <v>115.08</v>
      </c>
      <c r="AG349" s="1">
        <f t="shared" si="36"/>
        <v>1512.78</v>
      </c>
      <c r="AH349" s="1">
        <f t="shared" si="37"/>
        <v>112.6</v>
      </c>
      <c r="AI349" s="1">
        <f t="shared" si="38"/>
        <v>337.46000000000004</v>
      </c>
      <c r="AJ349" s="1">
        <f t="shared" si="39"/>
        <v>110.23333333333333</v>
      </c>
      <c r="AK349" s="1">
        <f t="shared" si="40"/>
        <v>111.06000000000002</v>
      </c>
      <c r="AL349" s="1">
        <f t="shared" si="41"/>
        <v>764.3</v>
      </c>
    </row>
    <row r="350" spans="1:38" x14ac:dyDescent="0.3">
      <c r="A350" t="s">
        <v>28</v>
      </c>
      <c r="B350" s="1">
        <v>2013</v>
      </c>
      <c r="C350" t="s">
        <v>38</v>
      </c>
      <c r="D350" t="str">
        <f t="shared" si="35"/>
        <v>2013-August</v>
      </c>
      <c r="E350" s="1">
        <v>8</v>
      </c>
      <c r="F350" s="1">
        <v>116.44</v>
      </c>
      <c r="G350" s="1">
        <v>117.56</v>
      </c>
      <c r="H350" s="1">
        <v>112.08</v>
      </c>
      <c r="I350" s="1">
        <v>109.82</v>
      </c>
      <c r="J350" s="1">
        <v>104.22</v>
      </c>
      <c r="K350" s="1">
        <v>108.68</v>
      </c>
      <c r="L350" s="1">
        <v>159.19999999999999</v>
      </c>
      <c r="M350" s="1">
        <v>106.36</v>
      </c>
      <c r="N350" s="1">
        <v>102.64</v>
      </c>
      <c r="O350" s="1">
        <v>107.96000000000001</v>
      </c>
      <c r="P350" s="1">
        <v>110.46000000000001</v>
      </c>
      <c r="Q350" s="1">
        <v>113.93999999999998</v>
      </c>
      <c r="R350" s="1">
        <v>117.62</v>
      </c>
      <c r="S350" s="1">
        <v>111.78</v>
      </c>
      <c r="T350" s="1">
        <v>111.4</v>
      </c>
      <c r="U350" s="1">
        <v>109.66</v>
      </c>
      <c r="V350" s="1">
        <v>111.12</v>
      </c>
      <c r="W350" s="1">
        <v>109.16666666666667</v>
      </c>
      <c r="X350" s="1">
        <v>109.9</v>
      </c>
      <c r="Y350" s="1">
        <v>109.06000000000002</v>
      </c>
      <c r="Z350" s="1">
        <v>107.76000000000002</v>
      </c>
      <c r="AA350" s="1">
        <v>108.72</v>
      </c>
      <c r="AB350" s="1">
        <v>107</v>
      </c>
      <c r="AC350" s="1">
        <v>110.08</v>
      </c>
      <c r="AD350" s="1">
        <v>106</v>
      </c>
      <c r="AE350" s="1">
        <v>108.36000000000001</v>
      </c>
      <c r="AF350" s="1">
        <v>112.92</v>
      </c>
      <c r="AG350" s="1">
        <f t="shared" si="36"/>
        <v>1486.98</v>
      </c>
      <c r="AH350" s="1">
        <f t="shared" si="37"/>
        <v>111.78</v>
      </c>
      <c r="AI350" s="1">
        <f t="shared" si="38"/>
        <v>332.18</v>
      </c>
      <c r="AJ350" s="1">
        <f t="shared" si="39"/>
        <v>109.16666666666667</v>
      </c>
      <c r="AK350" s="1">
        <f t="shared" si="40"/>
        <v>109.9</v>
      </c>
      <c r="AL350" s="1">
        <f t="shared" si="41"/>
        <v>756.98000000000013</v>
      </c>
    </row>
    <row r="351" spans="1:38" x14ac:dyDescent="0.3">
      <c r="A351" t="s">
        <v>30</v>
      </c>
      <c r="B351" s="1">
        <v>2013</v>
      </c>
      <c r="C351" t="s">
        <v>38</v>
      </c>
      <c r="D351" t="str">
        <f t="shared" si="35"/>
        <v>2013-August</v>
      </c>
      <c r="E351" s="1">
        <v>8</v>
      </c>
      <c r="F351" s="1">
        <v>116.86</v>
      </c>
      <c r="G351" s="1">
        <v>117.86</v>
      </c>
      <c r="H351" s="1">
        <v>112.32</v>
      </c>
      <c r="I351" s="1">
        <v>109.92</v>
      </c>
      <c r="J351" s="1">
        <v>104</v>
      </c>
      <c r="K351" s="1">
        <v>107.98</v>
      </c>
      <c r="L351" s="1">
        <v>163.6</v>
      </c>
      <c r="M351" s="1">
        <v>106.3</v>
      </c>
      <c r="N351" s="1">
        <v>102.44</v>
      </c>
      <c r="O351" s="1">
        <v>108.23999999999998</v>
      </c>
      <c r="P351" s="1">
        <v>110.66000000000001</v>
      </c>
      <c r="Q351" s="1">
        <v>114.34</v>
      </c>
      <c r="R351" s="1">
        <v>118.3</v>
      </c>
      <c r="S351" s="1">
        <v>112.04</v>
      </c>
      <c r="T351" s="1">
        <v>111.58000000000001</v>
      </c>
      <c r="U351" s="1">
        <v>109.7</v>
      </c>
      <c r="V351" s="1">
        <v>111.28</v>
      </c>
      <c r="W351" s="1">
        <v>109.3</v>
      </c>
      <c r="X351" s="1">
        <v>110.02000000000001</v>
      </c>
      <c r="Y351" s="1">
        <v>109.24000000000001</v>
      </c>
      <c r="Z351" s="1">
        <v>107.88</v>
      </c>
      <c r="AA351" s="1">
        <v>109.13999999999999</v>
      </c>
      <c r="AB351" s="1">
        <v>107.14000000000001</v>
      </c>
      <c r="AC351" s="1">
        <v>110.46</v>
      </c>
      <c r="AD351" s="1">
        <v>106.35999999999999</v>
      </c>
      <c r="AE351" s="1">
        <v>108.66</v>
      </c>
      <c r="AF351" s="1">
        <v>113.24000000000001</v>
      </c>
      <c r="AG351" s="1">
        <f t="shared" si="36"/>
        <v>1492.82</v>
      </c>
      <c r="AH351" s="1">
        <f t="shared" si="37"/>
        <v>112.04</v>
      </c>
      <c r="AI351" s="1">
        <f t="shared" si="38"/>
        <v>332.56000000000006</v>
      </c>
      <c r="AJ351" s="1">
        <f t="shared" si="39"/>
        <v>109.3</v>
      </c>
      <c r="AK351" s="1">
        <f t="shared" si="40"/>
        <v>110.02000000000001</v>
      </c>
      <c r="AL351" s="1">
        <f t="shared" si="41"/>
        <v>758.88</v>
      </c>
    </row>
    <row r="352" spans="1:38" x14ac:dyDescent="0.3">
      <c r="A352" t="s">
        <v>31</v>
      </c>
      <c r="B352" s="1">
        <v>2013</v>
      </c>
      <c r="C352" t="s">
        <v>38</v>
      </c>
      <c r="D352" t="str">
        <f t="shared" si="35"/>
        <v>2013-August</v>
      </c>
      <c r="E352" s="1">
        <v>8</v>
      </c>
      <c r="F352" s="1">
        <v>116.46</v>
      </c>
      <c r="G352" s="1">
        <v>116.86</v>
      </c>
      <c r="H352" s="1">
        <v>112.3</v>
      </c>
      <c r="I352" s="1">
        <v>110.48</v>
      </c>
      <c r="J352" s="1">
        <v>105.32</v>
      </c>
      <c r="K352" s="1">
        <v>108.88</v>
      </c>
      <c r="L352" s="1">
        <v>161.18</v>
      </c>
      <c r="M352" s="1">
        <v>107.02</v>
      </c>
      <c r="N352" s="1">
        <v>103.02</v>
      </c>
      <c r="O352" s="1">
        <v>108.17999999999999</v>
      </c>
      <c r="P352" s="1">
        <v>110.7</v>
      </c>
      <c r="Q352" s="1">
        <v>114.46</v>
      </c>
      <c r="R352" s="1">
        <v>118.33999999999999</v>
      </c>
      <c r="S352" s="1">
        <v>112</v>
      </c>
      <c r="T352" s="1">
        <v>112.17999999999999</v>
      </c>
      <c r="U352" s="1">
        <v>110.5</v>
      </c>
      <c r="V352" s="1">
        <v>111.91999999999999</v>
      </c>
      <c r="W352" s="1">
        <v>109.43333333333334</v>
      </c>
      <c r="X352" s="1">
        <v>110.47999999999999</v>
      </c>
      <c r="Y352" s="1">
        <v>109.58</v>
      </c>
      <c r="Z352" s="1">
        <v>108.14000000000001</v>
      </c>
      <c r="AA352" s="1">
        <v>109.38</v>
      </c>
      <c r="AB352" s="1">
        <v>107.5</v>
      </c>
      <c r="AC352" s="1">
        <v>110.34</v>
      </c>
      <c r="AD352" s="1">
        <v>106.66</v>
      </c>
      <c r="AE352" s="1">
        <v>108.82000000000001</v>
      </c>
      <c r="AF352" s="1">
        <v>113.8</v>
      </c>
      <c r="AG352" s="1">
        <f t="shared" si="36"/>
        <v>1493.2</v>
      </c>
      <c r="AH352" s="1">
        <f t="shared" si="37"/>
        <v>112</v>
      </c>
      <c r="AI352" s="1">
        <f t="shared" si="38"/>
        <v>334.6</v>
      </c>
      <c r="AJ352" s="1">
        <f t="shared" si="39"/>
        <v>109.43333333333334</v>
      </c>
      <c r="AK352" s="1">
        <f t="shared" si="40"/>
        <v>110.47999999999999</v>
      </c>
      <c r="AL352" s="1">
        <f t="shared" si="41"/>
        <v>760.42000000000007</v>
      </c>
    </row>
    <row r="353" spans="1:38" x14ac:dyDescent="0.3">
      <c r="A353" t="s">
        <v>28</v>
      </c>
      <c r="B353" s="1">
        <v>2013</v>
      </c>
      <c r="C353" t="s">
        <v>37</v>
      </c>
      <c r="D353" t="str">
        <f t="shared" si="35"/>
        <v>2013-July</v>
      </c>
      <c r="E353" s="1">
        <v>7</v>
      </c>
      <c r="F353" s="1">
        <v>115.72</v>
      </c>
      <c r="G353" s="1">
        <v>117.26</v>
      </c>
      <c r="H353" s="1">
        <v>112.04</v>
      </c>
      <c r="I353" s="1">
        <v>109.08</v>
      </c>
      <c r="J353" s="1">
        <v>103.82</v>
      </c>
      <c r="K353" s="1">
        <v>110.94</v>
      </c>
      <c r="L353" s="1">
        <v>149.19999999999999</v>
      </c>
      <c r="M353" s="1">
        <v>106.14</v>
      </c>
      <c r="N353" s="1">
        <v>102.8</v>
      </c>
      <c r="O353" s="1">
        <v>107.22</v>
      </c>
      <c r="P353" s="1">
        <v>109.94000000000001</v>
      </c>
      <c r="Q353" s="1">
        <v>112.93999999999998</v>
      </c>
      <c r="R353" s="1">
        <v>115.96000000000001</v>
      </c>
      <c r="S353" s="1">
        <v>110.97999999999999</v>
      </c>
      <c r="T353" s="1">
        <v>110.47999999999999</v>
      </c>
      <c r="U353" s="1">
        <v>108.92</v>
      </c>
      <c r="V353" s="1">
        <v>110.22</v>
      </c>
      <c r="W353" s="1">
        <v>108.10000000000001</v>
      </c>
      <c r="X353" s="1">
        <v>109.3</v>
      </c>
      <c r="Y353" s="1">
        <v>108.4</v>
      </c>
      <c r="Z353" s="1">
        <v>107.22</v>
      </c>
      <c r="AA353" s="1">
        <v>107.42</v>
      </c>
      <c r="AB353" s="1">
        <v>106.34</v>
      </c>
      <c r="AC353" s="1">
        <v>109.3</v>
      </c>
      <c r="AD353" s="1">
        <v>103.9</v>
      </c>
      <c r="AE353" s="1">
        <v>107.3</v>
      </c>
      <c r="AF353" s="1">
        <v>111.58000000000001</v>
      </c>
      <c r="AG353" s="1">
        <f t="shared" si="36"/>
        <v>1473.0600000000004</v>
      </c>
      <c r="AH353" s="1">
        <f t="shared" si="37"/>
        <v>110.97999999999999</v>
      </c>
      <c r="AI353" s="1">
        <f t="shared" si="38"/>
        <v>329.62</v>
      </c>
      <c r="AJ353" s="1">
        <f t="shared" si="39"/>
        <v>108.10000000000001</v>
      </c>
      <c r="AK353" s="1">
        <f t="shared" si="40"/>
        <v>109.3</v>
      </c>
      <c r="AL353" s="1">
        <f t="shared" si="41"/>
        <v>749.87999999999988</v>
      </c>
    </row>
    <row r="354" spans="1:38" x14ac:dyDescent="0.3">
      <c r="A354" t="s">
        <v>30</v>
      </c>
      <c r="B354" s="1">
        <v>2013</v>
      </c>
      <c r="C354" t="s">
        <v>37</v>
      </c>
      <c r="D354" t="str">
        <f t="shared" si="35"/>
        <v>2013-July</v>
      </c>
      <c r="E354" s="1">
        <v>7</v>
      </c>
      <c r="F354" s="1">
        <v>116.16</v>
      </c>
      <c r="G354" s="1">
        <v>117.72</v>
      </c>
      <c r="H354" s="1">
        <v>112.28</v>
      </c>
      <c r="I354" s="1">
        <v>109.14</v>
      </c>
      <c r="J354" s="1">
        <v>103.48</v>
      </c>
      <c r="K354" s="1">
        <v>110.84</v>
      </c>
      <c r="L354" s="1">
        <v>153.72</v>
      </c>
      <c r="M354" s="1">
        <v>106.02</v>
      </c>
      <c r="N354" s="1">
        <v>102.56</v>
      </c>
      <c r="O354" s="1">
        <v>107.42</v>
      </c>
      <c r="P354" s="1">
        <v>110.16000000000001</v>
      </c>
      <c r="Q354" s="1">
        <v>113.2</v>
      </c>
      <c r="R354" s="1">
        <v>116.66000000000001</v>
      </c>
      <c r="S354" s="1">
        <v>111.26000000000002</v>
      </c>
      <c r="T354" s="1">
        <v>110.58</v>
      </c>
      <c r="U354" s="1">
        <v>108.9</v>
      </c>
      <c r="V354" s="1">
        <v>110.3</v>
      </c>
      <c r="W354" s="1">
        <v>108.30000000000001</v>
      </c>
      <c r="X354" s="1">
        <v>109.34</v>
      </c>
      <c r="Y354" s="1">
        <v>108.47999999999999</v>
      </c>
      <c r="Z354" s="1">
        <v>107.34</v>
      </c>
      <c r="AA354" s="1">
        <v>107.66</v>
      </c>
      <c r="AB354" s="1">
        <v>106.38</v>
      </c>
      <c r="AC354" s="1">
        <v>109.72</v>
      </c>
      <c r="AD354" s="1">
        <v>104.47999999999999</v>
      </c>
      <c r="AE354" s="1">
        <v>107.58</v>
      </c>
      <c r="AF354" s="1">
        <v>111.92</v>
      </c>
      <c r="AG354" s="1">
        <f t="shared" si="36"/>
        <v>1479.3600000000004</v>
      </c>
      <c r="AH354" s="1">
        <f t="shared" si="37"/>
        <v>111.26000000000002</v>
      </c>
      <c r="AI354" s="1">
        <f t="shared" si="38"/>
        <v>329.78000000000003</v>
      </c>
      <c r="AJ354" s="1">
        <f t="shared" si="39"/>
        <v>108.30000000000001</v>
      </c>
      <c r="AK354" s="1">
        <f t="shared" si="40"/>
        <v>109.34</v>
      </c>
      <c r="AL354" s="1">
        <f t="shared" si="41"/>
        <v>751.6400000000001</v>
      </c>
    </row>
    <row r="355" spans="1:38" x14ac:dyDescent="0.3">
      <c r="A355" t="s">
        <v>31</v>
      </c>
      <c r="B355" s="1">
        <v>2013</v>
      </c>
      <c r="C355" t="s">
        <v>37</v>
      </c>
      <c r="D355" t="str">
        <f t="shared" si="35"/>
        <v>2013-July</v>
      </c>
      <c r="E355" s="1">
        <v>7</v>
      </c>
      <c r="F355" s="1">
        <v>115.68</v>
      </c>
      <c r="G355" s="1">
        <v>117.02</v>
      </c>
      <c r="H355" s="1">
        <v>111.82</v>
      </c>
      <c r="I355" s="1">
        <v>109.68</v>
      </c>
      <c r="J355" s="1">
        <v>104.74</v>
      </c>
      <c r="K355" s="1">
        <v>110.38</v>
      </c>
      <c r="L355" s="1">
        <v>152.34</v>
      </c>
      <c r="M355" s="1">
        <v>106.62</v>
      </c>
      <c r="N355" s="1">
        <v>103.14</v>
      </c>
      <c r="O355" s="1">
        <v>107.5</v>
      </c>
      <c r="P355" s="1">
        <v>110.16000000000001</v>
      </c>
      <c r="Q355" s="1">
        <v>113.38</v>
      </c>
      <c r="R355" s="1">
        <v>116.72</v>
      </c>
      <c r="S355" s="1">
        <v>111.25999999999999</v>
      </c>
      <c r="T355" s="1">
        <v>111.16000000000001</v>
      </c>
      <c r="U355" s="1">
        <v>109.62</v>
      </c>
      <c r="V355" s="1">
        <v>110.9</v>
      </c>
      <c r="W355" s="1">
        <v>108.5</v>
      </c>
      <c r="X355" s="1">
        <v>109.84</v>
      </c>
      <c r="Y355" s="1">
        <v>108.78</v>
      </c>
      <c r="Z355" s="1">
        <v>107.58</v>
      </c>
      <c r="AA355" s="1">
        <v>108.05999999999999</v>
      </c>
      <c r="AB355" s="1">
        <v>106.74000000000001</v>
      </c>
      <c r="AC355" s="1">
        <v>109.66</v>
      </c>
      <c r="AD355" s="1">
        <v>105.18000000000002</v>
      </c>
      <c r="AE355" s="1">
        <v>107.86000000000001</v>
      </c>
      <c r="AF355" s="1">
        <v>112.48000000000002</v>
      </c>
      <c r="AG355" s="1">
        <f t="shared" si="36"/>
        <v>1479.18</v>
      </c>
      <c r="AH355" s="1">
        <f t="shared" si="37"/>
        <v>111.25999999999999</v>
      </c>
      <c r="AI355" s="1">
        <f t="shared" si="38"/>
        <v>331.68000000000006</v>
      </c>
      <c r="AJ355" s="1">
        <f t="shared" si="39"/>
        <v>108.5</v>
      </c>
      <c r="AK355" s="1">
        <f t="shared" si="40"/>
        <v>109.84</v>
      </c>
      <c r="AL355" s="1">
        <f t="shared" si="41"/>
        <v>753.86000000000013</v>
      </c>
    </row>
    <row r="356" spans="1:38" x14ac:dyDescent="0.3">
      <c r="A356" t="s">
        <v>28</v>
      </c>
      <c r="B356" s="1">
        <v>2013</v>
      </c>
      <c r="C356" t="s">
        <v>36</v>
      </c>
      <c r="D356" t="str">
        <f t="shared" si="35"/>
        <v>2013-June</v>
      </c>
      <c r="E356" s="1">
        <v>6</v>
      </c>
      <c r="F356" s="1">
        <v>114.86</v>
      </c>
      <c r="G356" s="1">
        <v>116.24</v>
      </c>
      <c r="H356" s="1">
        <v>110.98</v>
      </c>
      <c r="I356" s="1">
        <v>108.22</v>
      </c>
      <c r="J356" s="1">
        <v>103.74</v>
      </c>
      <c r="K356" s="1">
        <v>111.16</v>
      </c>
      <c r="L356" s="1">
        <v>135.68</v>
      </c>
      <c r="M356" s="1">
        <v>106.14</v>
      </c>
      <c r="N356" s="1">
        <v>102.86</v>
      </c>
      <c r="O356" s="1">
        <v>106.28</v>
      </c>
      <c r="P356" s="1">
        <v>109.33999999999999</v>
      </c>
      <c r="Q356" s="1">
        <v>112</v>
      </c>
      <c r="R356" s="1">
        <v>113.67999999999999</v>
      </c>
      <c r="S356" s="1">
        <v>110.17999999999999</v>
      </c>
      <c r="T356" s="1">
        <v>109.73999999999998</v>
      </c>
      <c r="U356" s="1">
        <v>108.28</v>
      </c>
      <c r="V356" s="1">
        <v>109.5</v>
      </c>
      <c r="W356" s="1">
        <v>106.96666666666665</v>
      </c>
      <c r="X356" s="1">
        <v>108.58</v>
      </c>
      <c r="Y356" s="1">
        <v>107.83999999999999</v>
      </c>
      <c r="Z356" s="1">
        <v>106.64000000000001</v>
      </c>
      <c r="AA356" s="1">
        <v>105.88</v>
      </c>
      <c r="AB356" s="1">
        <v>105.7</v>
      </c>
      <c r="AC356" s="1">
        <v>107.97999999999999</v>
      </c>
      <c r="AD356" s="1">
        <v>102.86000000000001</v>
      </c>
      <c r="AE356" s="1">
        <v>106.23999999999998</v>
      </c>
      <c r="AF356" s="1">
        <v>110</v>
      </c>
      <c r="AG356" s="1">
        <f t="shared" si="36"/>
        <v>1451.1799999999998</v>
      </c>
      <c r="AH356" s="1">
        <f t="shared" si="37"/>
        <v>110.17999999999999</v>
      </c>
      <c r="AI356" s="1">
        <f t="shared" si="38"/>
        <v>327.52</v>
      </c>
      <c r="AJ356" s="1">
        <f t="shared" si="39"/>
        <v>106.96666666666665</v>
      </c>
      <c r="AK356" s="1">
        <f t="shared" si="40"/>
        <v>108.58</v>
      </c>
      <c r="AL356" s="1">
        <f t="shared" si="41"/>
        <v>743.14</v>
      </c>
    </row>
    <row r="357" spans="1:38" x14ac:dyDescent="0.3">
      <c r="A357" t="s">
        <v>30</v>
      </c>
      <c r="B357" s="1">
        <v>2013</v>
      </c>
      <c r="C357" t="s">
        <v>36</v>
      </c>
      <c r="D357" t="str">
        <f t="shared" si="35"/>
        <v>2013-June</v>
      </c>
      <c r="E357" s="1">
        <v>6</v>
      </c>
      <c r="F357" s="1">
        <v>115.36</v>
      </c>
      <c r="G357" s="1">
        <v>117.1</v>
      </c>
      <c r="H357" s="1">
        <v>111.74</v>
      </c>
      <c r="I357" s="1">
        <v>108.34</v>
      </c>
      <c r="J357" s="1">
        <v>103.42</v>
      </c>
      <c r="K357" s="1">
        <v>111.66</v>
      </c>
      <c r="L357" s="1">
        <v>140.08000000000001</v>
      </c>
      <c r="M357" s="1">
        <v>106.06</v>
      </c>
      <c r="N357" s="1">
        <v>102.7</v>
      </c>
      <c r="O357" s="1">
        <v>106.55999999999999</v>
      </c>
      <c r="P357" s="1">
        <v>109.62</v>
      </c>
      <c r="Q357" s="1">
        <v>112.32000000000001</v>
      </c>
      <c r="R357" s="1">
        <v>114.5</v>
      </c>
      <c r="S357" s="1">
        <v>110.43999999999998</v>
      </c>
      <c r="T357" s="1">
        <v>109.84</v>
      </c>
      <c r="U357" s="1">
        <v>108.28</v>
      </c>
      <c r="V357" s="1">
        <v>109.6</v>
      </c>
      <c r="W357" s="1">
        <v>107.14999999999999</v>
      </c>
      <c r="X357" s="1">
        <v>108.72</v>
      </c>
      <c r="Y357" s="1">
        <v>107.98000000000002</v>
      </c>
      <c r="Z357" s="1">
        <v>106.78</v>
      </c>
      <c r="AA357" s="1">
        <v>106.3</v>
      </c>
      <c r="AB357" s="1">
        <v>105.8</v>
      </c>
      <c r="AC357" s="1">
        <v>108.5</v>
      </c>
      <c r="AD357" s="1">
        <v>102.92</v>
      </c>
      <c r="AE357" s="1">
        <v>106.52000000000001</v>
      </c>
      <c r="AF357" s="1">
        <v>110.42</v>
      </c>
      <c r="AG357" s="1">
        <f t="shared" si="36"/>
        <v>1459.4599999999998</v>
      </c>
      <c r="AH357" s="1">
        <f t="shared" si="37"/>
        <v>110.43999999999998</v>
      </c>
      <c r="AI357" s="1">
        <f t="shared" si="38"/>
        <v>327.72</v>
      </c>
      <c r="AJ357" s="1">
        <f t="shared" si="39"/>
        <v>107.14999999999999</v>
      </c>
      <c r="AK357" s="1">
        <f t="shared" si="40"/>
        <v>108.72</v>
      </c>
      <c r="AL357" s="1">
        <f t="shared" si="41"/>
        <v>744.8</v>
      </c>
    </row>
    <row r="358" spans="1:38" x14ac:dyDescent="0.3">
      <c r="A358" t="s">
        <v>31</v>
      </c>
      <c r="B358" s="1">
        <v>2013</v>
      </c>
      <c r="C358" t="s">
        <v>36</v>
      </c>
      <c r="D358" t="str">
        <f t="shared" si="35"/>
        <v>2013-June</v>
      </c>
      <c r="E358" s="1">
        <v>6</v>
      </c>
      <c r="F358" s="1">
        <v>114.82</v>
      </c>
      <c r="G358" s="1">
        <v>116.16</v>
      </c>
      <c r="H358" s="1">
        <v>111.46</v>
      </c>
      <c r="I358" s="1">
        <v>108.88</v>
      </c>
      <c r="J358" s="1">
        <v>104.44</v>
      </c>
      <c r="K358" s="1">
        <v>111.34</v>
      </c>
      <c r="L358" s="1">
        <v>139.13999999999999</v>
      </c>
      <c r="M358" s="1">
        <v>106.46</v>
      </c>
      <c r="N358" s="1">
        <v>103.24</v>
      </c>
      <c r="O358" s="1">
        <v>106.66000000000001</v>
      </c>
      <c r="P358" s="1">
        <v>109.56000000000002</v>
      </c>
      <c r="Q358" s="1">
        <v>112.4</v>
      </c>
      <c r="R358" s="1">
        <v>114.47999999999999</v>
      </c>
      <c r="S358" s="1">
        <v>110.4</v>
      </c>
      <c r="T358" s="1">
        <v>110.25999999999999</v>
      </c>
      <c r="U358" s="1">
        <v>108.88</v>
      </c>
      <c r="V358" s="1">
        <v>110.04</v>
      </c>
      <c r="W358" s="1">
        <v>107.33333333333333</v>
      </c>
      <c r="X358" s="1">
        <v>109.1</v>
      </c>
      <c r="Y358" s="1">
        <v>108.17999999999999</v>
      </c>
      <c r="Z358" s="1">
        <v>106.97999999999999</v>
      </c>
      <c r="AA358" s="1">
        <v>106.81999999999998</v>
      </c>
      <c r="AB358" s="1">
        <v>106.12</v>
      </c>
      <c r="AC358" s="1">
        <v>108.62</v>
      </c>
      <c r="AD358" s="1">
        <v>103.25999999999999</v>
      </c>
      <c r="AE358" s="1">
        <v>106.8</v>
      </c>
      <c r="AF358" s="1">
        <v>110.9</v>
      </c>
      <c r="AG358" s="1">
        <f t="shared" si="36"/>
        <v>1459.0400000000002</v>
      </c>
      <c r="AH358" s="1">
        <f t="shared" si="37"/>
        <v>110.4</v>
      </c>
      <c r="AI358" s="1">
        <f t="shared" si="38"/>
        <v>329.18</v>
      </c>
      <c r="AJ358" s="1">
        <f t="shared" si="39"/>
        <v>107.33333333333333</v>
      </c>
      <c r="AK358" s="1">
        <f t="shared" si="40"/>
        <v>109.1</v>
      </c>
      <c r="AL358" s="1">
        <f t="shared" si="41"/>
        <v>746.78</v>
      </c>
    </row>
    <row r="359" spans="1:38" x14ac:dyDescent="0.3">
      <c r="A359" t="s">
        <v>28</v>
      </c>
      <c r="B359" s="1">
        <v>2013</v>
      </c>
      <c r="C359" t="s">
        <v>35</v>
      </c>
      <c r="D359" t="str">
        <f t="shared" si="35"/>
        <v>2013-May</v>
      </c>
      <c r="E359" s="1">
        <v>5</v>
      </c>
      <c r="F359" s="1">
        <v>113.58</v>
      </c>
      <c r="G359" s="1">
        <v>113.5</v>
      </c>
      <c r="H359" s="1">
        <v>106.78</v>
      </c>
      <c r="I359" s="1">
        <v>107.08</v>
      </c>
      <c r="J359" s="1">
        <v>103.58</v>
      </c>
      <c r="K359" s="1">
        <v>109.92</v>
      </c>
      <c r="L359" s="1">
        <v>121.1</v>
      </c>
      <c r="M359" s="1">
        <v>105.86</v>
      </c>
      <c r="N359" s="1">
        <v>102.84</v>
      </c>
      <c r="O359" s="1">
        <v>105.02000000000001</v>
      </c>
      <c r="P359" s="1">
        <v>108.55999999999999</v>
      </c>
      <c r="Q359" s="1">
        <v>110.97999999999999</v>
      </c>
      <c r="R359" s="1">
        <v>110.8</v>
      </c>
      <c r="S359" s="1">
        <v>109.28</v>
      </c>
      <c r="T359" s="1">
        <v>108.97999999999999</v>
      </c>
      <c r="U359" s="1">
        <v>107.6</v>
      </c>
      <c r="V359" s="1">
        <v>108.75999999999999</v>
      </c>
      <c r="W359" s="1">
        <v>102.53333333333335</v>
      </c>
      <c r="X359" s="1">
        <v>107.72</v>
      </c>
      <c r="Y359" s="1">
        <v>107.2</v>
      </c>
      <c r="Z359" s="1">
        <v>106.12</v>
      </c>
      <c r="AA359" s="1">
        <v>104.44000000000001</v>
      </c>
      <c r="AB359" s="1">
        <v>105.04</v>
      </c>
      <c r="AC359" s="1">
        <v>106.28</v>
      </c>
      <c r="AD359" s="1">
        <v>102.55999999999999</v>
      </c>
      <c r="AE359" s="1">
        <v>105.22</v>
      </c>
      <c r="AF359" s="1">
        <v>107.86000000000001</v>
      </c>
      <c r="AG359" s="1">
        <f t="shared" si="36"/>
        <v>1419.6</v>
      </c>
      <c r="AH359" s="1">
        <f t="shared" si="37"/>
        <v>109.28</v>
      </c>
      <c r="AI359" s="1">
        <f t="shared" si="38"/>
        <v>325.33999999999997</v>
      </c>
      <c r="AJ359" s="1">
        <f t="shared" si="39"/>
        <v>102.53333333333335</v>
      </c>
      <c r="AK359" s="1">
        <f t="shared" si="40"/>
        <v>107.72</v>
      </c>
      <c r="AL359" s="1">
        <f t="shared" si="41"/>
        <v>736.86</v>
      </c>
    </row>
    <row r="360" spans="1:38" x14ac:dyDescent="0.3">
      <c r="A360" t="s">
        <v>30</v>
      </c>
      <c r="B360" s="1">
        <v>2013</v>
      </c>
      <c r="C360" t="s">
        <v>35</v>
      </c>
      <c r="D360" t="str">
        <f t="shared" si="35"/>
        <v>2013-May</v>
      </c>
      <c r="E360" s="1">
        <v>5</v>
      </c>
      <c r="F360" s="1">
        <v>114.16</v>
      </c>
      <c r="G360" s="1">
        <v>114.52</v>
      </c>
      <c r="H360" s="1">
        <v>107.56</v>
      </c>
      <c r="I360" s="1">
        <v>107.16</v>
      </c>
      <c r="J360" s="1">
        <v>103.36</v>
      </c>
      <c r="K360" s="1">
        <v>110.44</v>
      </c>
      <c r="L360" s="1">
        <v>124.98</v>
      </c>
      <c r="M360" s="1">
        <v>105.9</v>
      </c>
      <c r="N360" s="1">
        <v>102.74</v>
      </c>
      <c r="O360" s="1">
        <v>105.36000000000001</v>
      </c>
      <c r="P360" s="1">
        <v>108.88</v>
      </c>
      <c r="Q360" s="1">
        <v>111.32000000000001</v>
      </c>
      <c r="R360" s="1">
        <v>111.62</v>
      </c>
      <c r="S360" s="1">
        <v>109.55999999999999</v>
      </c>
      <c r="T360" s="1">
        <v>109.11999999999998</v>
      </c>
      <c r="U360" s="1">
        <v>107.64000000000001</v>
      </c>
      <c r="V360" s="1">
        <v>108.9</v>
      </c>
      <c r="W360" s="1">
        <v>103.55000000000001</v>
      </c>
      <c r="X360" s="1">
        <v>107.88</v>
      </c>
      <c r="Y360" s="1">
        <v>107.35999999999999</v>
      </c>
      <c r="Z360" s="1">
        <v>106.26000000000002</v>
      </c>
      <c r="AA360" s="1">
        <v>104.63999999999999</v>
      </c>
      <c r="AB360" s="1">
        <v>105.12</v>
      </c>
      <c r="AC360" s="1">
        <v>106.66</v>
      </c>
      <c r="AD360" s="1">
        <v>102.7</v>
      </c>
      <c r="AE360" s="1">
        <v>105.41999999999999</v>
      </c>
      <c r="AF360" s="1">
        <v>108.28</v>
      </c>
      <c r="AG360" s="1">
        <f t="shared" si="36"/>
        <v>1428</v>
      </c>
      <c r="AH360" s="1">
        <f t="shared" si="37"/>
        <v>109.55999999999999</v>
      </c>
      <c r="AI360" s="1">
        <f t="shared" si="38"/>
        <v>325.65999999999997</v>
      </c>
      <c r="AJ360" s="1">
        <f t="shared" si="39"/>
        <v>103.55000000000001</v>
      </c>
      <c r="AK360" s="1">
        <f t="shared" si="40"/>
        <v>107.88</v>
      </c>
      <c r="AL360" s="1">
        <f t="shared" si="41"/>
        <v>738.16</v>
      </c>
    </row>
    <row r="361" spans="1:38" x14ac:dyDescent="0.3">
      <c r="A361" t="s">
        <v>31</v>
      </c>
      <c r="B361" s="1">
        <v>2013</v>
      </c>
      <c r="C361" t="s">
        <v>35</v>
      </c>
      <c r="D361" t="str">
        <f t="shared" si="35"/>
        <v>2013-May</v>
      </c>
      <c r="E361" s="1">
        <v>5</v>
      </c>
      <c r="F361" s="1">
        <v>113.76</v>
      </c>
      <c r="G361" s="1">
        <v>114.66</v>
      </c>
      <c r="H361" s="1">
        <v>109.12</v>
      </c>
      <c r="I361" s="1">
        <v>107.92</v>
      </c>
      <c r="J361" s="1">
        <v>104.3</v>
      </c>
      <c r="K361" s="1">
        <v>110.38</v>
      </c>
      <c r="L361" s="1">
        <v>126.08</v>
      </c>
      <c r="M361" s="1">
        <v>106.28</v>
      </c>
      <c r="N361" s="1">
        <v>103.22</v>
      </c>
      <c r="O361" s="1">
        <v>105.64000000000001</v>
      </c>
      <c r="P361" s="1">
        <v>108.88</v>
      </c>
      <c r="Q361" s="1">
        <v>111.47999999999999</v>
      </c>
      <c r="R361" s="1">
        <v>112.02000000000001</v>
      </c>
      <c r="S361" s="1">
        <v>109.55999999999999</v>
      </c>
      <c r="T361" s="1">
        <v>109.52000000000001</v>
      </c>
      <c r="U361" s="1">
        <v>108.2</v>
      </c>
      <c r="V361" s="1">
        <v>109.3</v>
      </c>
      <c r="W361" s="1">
        <v>104.56666666666666</v>
      </c>
      <c r="X361" s="1">
        <v>108.34</v>
      </c>
      <c r="Y361" s="1">
        <v>107.6</v>
      </c>
      <c r="Z361" s="1">
        <v>106.4</v>
      </c>
      <c r="AA361" s="1">
        <v>105.21999999999998</v>
      </c>
      <c r="AB361" s="1">
        <v>105.47999999999999</v>
      </c>
      <c r="AC361" s="1">
        <v>107.08</v>
      </c>
      <c r="AD361" s="1">
        <v>102.68000000000002</v>
      </c>
      <c r="AE361" s="1">
        <v>105.74000000000001</v>
      </c>
      <c r="AF361" s="1">
        <v>109.1</v>
      </c>
      <c r="AG361" s="1">
        <f t="shared" si="36"/>
        <v>1433.7400000000002</v>
      </c>
      <c r="AH361" s="1">
        <f t="shared" si="37"/>
        <v>109.55999999999999</v>
      </c>
      <c r="AI361" s="1">
        <f t="shared" si="38"/>
        <v>327.02000000000004</v>
      </c>
      <c r="AJ361" s="1">
        <f t="shared" si="39"/>
        <v>104.56666666666666</v>
      </c>
      <c r="AK361" s="1">
        <f t="shared" si="40"/>
        <v>108.34</v>
      </c>
      <c r="AL361" s="1">
        <f t="shared" si="41"/>
        <v>740.2</v>
      </c>
    </row>
    <row r="362" spans="1:38" x14ac:dyDescent="0.3">
      <c r="A362" t="s">
        <v>28</v>
      </c>
      <c r="B362" s="1">
        <v>2013</v>
      </c>
      <c r="C362" t="s">
        <v>34</v>
      </c>
      <c r="D362" t="str">
        <f t="shared" si="35"/>
        <v>2013-April</v>
      </c>
      <c r="E362" s="1">
        <v>4</v>
      </c>
      <c r="F362" s="1">
        <v>112.54</v>
      </c>
      <c r="G362" s="1">
        <v>111.56</v>
      </c>
      <c r="H362" s="1">
        <v>105.62</v>
      </c>
      <c r="I362" s="1">
        <v>105.94</v>
      </c>
      <c r="J362" s="1">
        <v>103.8</v>
      </c>
      <c r="K362" s="1">
        <v>109.08</v>
      </c>
      <c r="L362" s="1">
        <v>109.92</v>
      </c>
      <c r="M362" s="1">
        <v>105.38</v>
      </c>
      <c r="N362" s="1">
        <v>103.06</v>
      </c>
      <c r="O362" s="1">
        <v>103.8</v>
      </c>
      <c r="P362" s="1">
        <v>107.67999999999999</v>
      </c>
      <c r="Q362" s="1">
        <v>110.03999999999999</v>
      </c>
      <c r="R362" s="1">
        <v>108.55999999999999</v>
      </c>
      <c r="S362" s="1">
        <v>108.2</v>
      </c>
      <c r="T362" s="1">
        <v>108.25999999999999</v>
      </c>
      <c r="U362" s="1">
        <v>107.08000000000001</v>
      </c>
      <c r="V362" s="1">
        <v>108.1</v>
      </c>
      <c r="W362" s="1">
        <v>100.5</v>
      </c>
      <c r="X362" s="1">
        <v>106.82000000000001</v>
      </c>
      <c r="Y362" s="1">
        <v>106.55999999999999</v>
      </c>
      <c r="Z362" s="1">
        <v>105.6</v>
      </c>
      <c r="AA362" s="1">
        <v>104.42</v>
      </c>
      <c r="AB362" s="1">
        <v>104.46</v>
      </c>
      <c r="AC362" s="1">
        <v>105.24000000000001</v>
      </c>
      <c r="AD362" s="1">
        <v>102.7</v>
      </c>
      <c r="AE362" s="1">
        <v>104.84</v>
      </c>
      <c r="AF362" s="1">
        <v>106.4</v>
      </c>
      <c r="AG362" s="1">
        <f t="shared" si="36"/>
        <v>1396.98</v>
      </c>
      <c r="AH362" s="1">
        <f t="shared" si="37"/>
        <v>108.2</v>
      </c>
      <c r="AI362" s="1">
        <f t="shared" si="38"/>
        <v>323.44</v>
      </c>
      <c r="AJ362" s="1">
        <f t="shared" si="39"/>
        <v>100.5</v>
      </c>
      <c r="AK362" s="1">
        <f t="shared" si="40"/>
        <v>106.82000000000001</v>
      </c>
      <c r="AL362" s="1">
        <f t="shared" si="41"/>
        <v>733.82</v>
      </c>
    </row>
    <row r="363" spans="1:38" x14ac:dyDescent="0.3">
      <c r="A363" t="s">
        <v>30</v>
      </c>
      <c r="B363" s="1">
        <v>2013</v>
      </c>
      <c r="C363" t="s">
        <v>34</v>
      </c>
      <c r="D363" t="str">
        <f t="shared" si="35"/>
        <v>2013-April</v>
      </c>
      <c r="E363" s="1">
        <v>4</v>
      </c>
      <c r="F363" s="1">
        <v>112.96</v>
      </c>
      <c r="G363" s="1">
        <v>111.92</v>
      </c>
      <c r="H363" s="1">
        <v>105.18</v>
      </c>
      <c r="I363" s="1">
        <v>106.04</v>
      </c>
      <c r="J363" s="1">
        <v>103.44</v>
      </c>
      <c r="K363" s="1">
        <v>109.28</v>
      </c>
      <c r="L363" s="1">
        <v>111.82</v>
      </c>
      <c r="M363" s="1">
        <v>105.4</v>
      </c>
      <c r="N363" s="1">
        <v>102.84</v>
      </c>
      <c r="O363" s="1">
        <v>104.02000000000001</v>
      </c>
      <c r="P363" s="1">
        <v>108</v>
      </c>
      <c r="Q363" s="1">
        <v>110.38000000000002</v>
      </c>
      <c r="R363" s="1">
        <v>108.98000000000002</v>
      </c>
      <c r="S363" s="1">
        <v>108.5</v>
      </c>
      <c r="T363" s="1">
        <v>108.38</v>
      </c>
      <c r="U363" s="1">
        <v>107.08</v>
      </c>
      <c r="V363" s="1">
        <v>108.2</v>
      </c>
      <c r="W363" s="1">
        <v>100.5</v>
      </c>
      <c r="X363" s="1">
        <v>107</v>
      </c>
      <c r="Y363" s="1">
        <v>106.72</v>
      </c>
      <c r="Z363" s="1">
        <v>105.75999999999999</v>
      </c>
      <c r="AA363" s="1">
        <v>104.33999999999999</v>
      </c>
      <c r="AB363" s="1">
        <v>104.51999999999998</v>
      </c>
      <c r="AC363" s="1">
        <v>105.4</v>
      </c>
      <c r="AD363" s="1">
        <v>102.62</v>
      </c>
      <c r="AE363" s="1">
        <v>104.88</v>
      </c>
      <c r="AF363" s="1">
        <v>106.5</v>
      </c>
      <c r="AG363" s="1">
        <f t="shared" si="36"/>
        <v>1400.26</v>
      </c>
      <c r="AH363" s="1">
        <f t="shared" si="37"/>
        <v>108.5</v>
      </c>
      <c r="AI363" s="1">
        <f t="shared" si="38"/>
        <v>323.65999999999997</v>
      </c>
      <c r="AJ363" s="1">
        <f t="shared" si="39"/>
        <v>100.5</v>
      </c>
      <c r="AK363" s="1">
        <f t="shared" si="40"/>
        <v>107</v>
      </c>
      <c r="AL363" s="1">
        <f t="shared" si="41"/>
        <v>734.24</v>
      </c>
    </row>
    <row r="364" spans="1:38" x14ac:dyDescent="0.3">
      <c r="A364" t="s">
        <v>31</v>
      </c>
      <c r="B364" s="1">
        <v>2013</v>
      </c>
      <c r="C364" t="s">
        <v>34</v>
      </c>
      <c r="D364" t="str">
        <f t="shared" si="35"/>
        <v>2013-April</v>
      </c>
      <c r="E364" s="1">
        <v>4</v>
      </c>
      <c r="F364" s="1">
        <v>112.5</v>
      </c>
      <c r="G364" s="1">
        <v>111.66</v>
      </c>
      <c r="H364" s="1">
        <v>105.6</v>
      </c>
      <c r="I364" s="1">
        <v>106.76</v>
      </c>
      <c r="J364" s="1">
        <v>104.2</v>
      </c>
      <c r="K364" s="1">
        <v>109.22</v>
      </c>
      <c r="L364" s="1">
        <v>113.48</v>
      </c>
      <c r="M364" s="1">
        <v>105.84</v>
      </c>
      <c r="N364" s="1">
        <v>103.26</v>
      </c>
      <c r="O364" s="1">
        <v>104.4</v>
      </c>
      <c r="P364" s="1">
        <v>108.00000000000003</v>
      </c>
      <c r="Q364" s="1">
        <v>110.46</v>
      </c>
      <c r="R364" s="1">
        <v>109.33999999999999</v>
      </c>
      <c r="S364" s="1">
        <v>108.6</v>
      </c>
      <c r="T364" s="1">
        <v>108.74000000000001</v>
      </c>
      <c r="U364" s="1">
        <v>107.55999999999999</v>
      </c>
      <c r="V364" s="1">
        <v>108.55999999999999</v>
      </c>
      <c r="W364" s="1">
        <v>100.5</v>
      </c>
      <c r="X364" s="1">
        <v>107.42</v>
      </c>
      <c r="Y364" s="1">
        <v>106.92</v>
      </c>
      <c r="Z364" s="1">
        <v>105.88</v>
      </c>
      <c r="AA364" s="1">
        <v>104.34</v>
      </c>
      <c r="AB364" s="1">
        <v>104.83999999999999</v>
      </c>
      <c r="AC364" s="1">
        <v>105.66</v>
      </c>
      <c r="AD364" s="1">
        <v>102.48000000000002</v>
      </c>
      <c r="AE364" s="1">
        <v>104.96</v>
      </c>
      <c r="AF364" s="1">
        <v>107.13999999999999</v>
      </c>
      <c r="AG364" s="1">
        <f t="shared" si="36"/>
        <v>1404.72</v>
      </c>
      <c r="AH364" s="1">
        <f t="shared" si="37"/>
        <v>108.6</v>
      </c>
      <c r="AI364" s="1">
        <f t="shared" si="38"/>
        <v>324.86</v>
      </c>
      <c r="AJ364" s="1">
        <f t="shared" si="39"/>
        <v>100.5</v>
      </c>
      <c r="AK364" s="1">
        <f t="shared" si="40"/>
        <v>107.42</v>
      </c>
      <c r="AL364" s="1">
        <f t="shared" si="41"/>
        <v>735.08</v>
      </c>
    </row>
    <row r="365" spans="1:38" x14ac:dyDescent="0.3">
      <c r="A365" t="s">
        <v>28</v>
      </c>
      <c r="B365" s="1">
        <v>2013</v>
      </c>
      <c r="C365" t="s">
        <v>33</v>
      </c>
      <c r="D365" t="str">
        <f t="shared" si="35"/>
        <v>2013-March</v>
      </c>
      <c r="E365" s="1">
        <v>3</v>
      </c>
      <c r="F365" s="1">
        <v>112.06</v>
      </c>
      <c r="G365" s="1">
        <v>110.56</v>
      </c>
      <c r="H365" s="1">
        <v>109.44</v>
      </c>
      <c r="I365" s="1">
        <v>105.2</v>
      </c>
      <c r="J365" s="1">
        <v>104.32</v>
      </c>
      <c r="K365" s="1">
        <v>106.74</v>
      </c>
      <c r="L365" s="1">
        <v>104.1</v>
      </c>
      <c r="M365" s="1">
        <v>104.9</v>
      </c>
      <c r="N365" s="1">
        <v>103.6</v>
      </c>
      <c r="O365" s="1">
        <v>103.08</v>
      </c>
      <c r="P365" s="1">
        <v>106.7</v>
      </c>
      <c r="Q365" s="1">
        <v>109.25999999999999</v>
      </c>
      <c r="R365" s="1">
        <v>107.33999999999999</v>
      </c>
      <c r="S365" s="1">
        <v>107.1</v>
      </c>
      <c r="T365" s="1">
        <v>107.64000000000001</v>
      </c>
      <c r="U365" s="1">
        <v>106.62</v>
      </c>
      <c r="V365" s="1">
        <v>107.5</v>
      </c>
      <c r="W365" s="1">
        <v>100.43333333333334</v>
      </c>
      <c r="X365" s="1">
        <v>106.22</v>
      </c>
      <c r="Y365" s="1">
        <v>105.9</v>
      </c>
      <c r="Z365" s="1">
        <v>105.12</v>
      </c>
      <c r="AA365" s="1">
        <v>104.92</v>
      </c>
      <c r="AB365" s="1">
        <v>103.94000000000001</v>
      </c>
      <c r="AC365" s="1">
        <v>104.42</v>
      </c>
      <c r="AD365" s="1">
        <v>103.74000000000001</v>
      </c>
      <c r="AE365" s="1">
        <v>104.78</v>
      </c>
      <c r="AF365" s="1">
        <v>105.72</v>
      </c>
      <c r="AG365" s="1">
        <f t="shared" si="36"/>
        <v>1387.3</v>
      </c>
      <c r="AH365" s="1">
        <f t="shared" si="37"/>
        <v>107.1</v>
      </c>
      <c r="AI365" s="1">
        <f t="shared" si="38"/>
        <v>321.76</v>
      </c>
      <c r="AJ365" s="1">
        <f t="shared" si="39"/>
        <v>100.43333333333334</v>
      </c>
      <c r="AK365" s="1">
        <f t="shared" si="40"/>
        <v>106.22</v>
      </c>
      <c r="AL365" s="1">
        <f t="shared" si="41"/>
        <v>732.81999999999994</v>
      </c>
    </row>
    <row r="366" spans="1:38" x14ac:dyDescent="0.3">
      <c r="A366" t="s">
        <v>30</v>
      </c>
      <c r="B366" s="1">
        <v>2013</v>
      </c>
      <c r="C366" t="s">
        <v>33</v>
      </c>
      <c r="D366" t="str">
        <f t="shared" si="35"/>
        <v>2013-March</v>
      </c>
      <c r="E366" s="1">
        <v>3</v>
      </c>
      <c r="F366" s="1">
        <v>112.34</v>
      </c>
      <c r="G366" s="1">
        <v>110.98</v>
      </c>
      <c r="H366" s="1">
        <v>108.78</v>
      </c>
      <c r="I366" s="1">
        <v>105.22</v>
      </c>
      <c r="J366" s="1">
        <v>103.96</v>
      </c>
      <c r="K366" s="1">
        <v>107.38</v>
      </c>
      <c r="L366" s="1">
        <v>104.92</v>
      </c>
      <c r="M366" s="1">
        <v>104.82</v>
      </c>
      <c r="N366" s="1">
        <v>103.3</v>
      </c>
      <c r="O366" s="1">
        <v>103.08</v>
      </c>
      <c r="P366" s="1">
        <v>107.02000000000001</v>
      </c>
      <c r="Q366" s="1">
        <v>109.54</v>
      </c>
      <c r="R366" s="1">
        <v>107.55999999999999</v>
      </c>
      <c r="S366" s="1">
        <v>107.3</v>
      </c>
      <c r="T366" s="1">
        <v>107.72</v>
      </c>
      <c r="U366" s="1">
        <v>106.66</v>
      </c>
      <c r="V366" s="1">
        <v>107.58</v>
      </c>
      <c r="W366" s="1">
        <v>100.45</v>
      </c>
      <c r="X366" s="1">
        <v>106.3</v>
      </c>
      <c r="Y366" s="1">
        <v>106.03999999999999</v>
      </c>
      <c r="Z366" s="1">
        <v>105.24000000000001</v>
      </c>
      <c r="AA366" s="1">
        <v>104.94000000000001</v>
      </c>
      <c r="AB366" s="1">
        <v>103.97999999999999</v>
      </c>
      <c r="AC366" s="1">
        <v>104.55999999999999</v>
      </c>
      <c r="AD366" s="1">
        <v>103.46</v>
      </c>
      <c r="AE366" s="1">
        <v>104.82000000000001</v>
      </c>
      <c r="AF366" s="1">
        <v>105.73999999999998</v>
      </c>
      <c r="AG366" s="1">
        <f t="shared" si="36"/>
        <v>1388.8999999999999</v>
      </c>
      <c r="AH366" s="1">
        <f t="shared" si="37"/>
        <v>107.3</v>
      </c>
      <c r="AI366" s="1">
        <f t="shared" si="38"/>
        <v>321.95999999999998</v>
      </c>
      <c r="AJ366" s="1">
        <f t="shared" si="39"/>
        <v>100.45</v>
      </c>
      <c r="AK366" s="1">
        <f t="shared" si="40"/>
        <v>106.3</v>
      </c>
      <c r="AL366" s="1">
        <f t="shared" si="41"/>
        <v>733.04000000000008</v>
      </c>
    </row>
    <row r="367" spans="1:38" x14ac:dyDescent="0.3">
      <c r="A367" t="s">
        <v>31</v>
      </c>
      <c r="B367" s="1">
        <v>2013</v>
      </c>
      <c r="C367" t="s">
        <v>33</v>
      </c>
      <c r="D367" t="str">
        <f t="shared" si="35"/>
        <v>2013-March</v>
      </c>
      <c r="E367" s="1">
        <v>3</v>
      </c>
      <c r="F367" s="1">
        <v>111.74</v>
      </c>
      <c r="G367" s="1">
        <v>110.66</v>
      </c>
      <c r="H367" s="1">
        <v>107.32</v>
      </c>
      <c r="I367" s="1">
        <v>105.86</v>
      </c>
      <c r="J367" s="1">
        <v>104.48</v>
      </c>
      <c r="K367" s="1">
        <v>108.02</v>
      </c>
      <c r="L367" s="1">
        <v>105.62</v>
      </c>
      <c r="M367" s="1">
        <v>105.34</v>
      </c>
      <c r="N367" s="1">
        <v>103.52</v>
      </c>
      <c r="O367" s="1">
        <v>103.4</v>
      </c>
      <c r="P367" s="1">
        <v>107.1</v>
      </c>
      <c r="Q367" s="1">
        <v>109.55999999999999</v>
      </c>
      <c r="R367" s="1">
        <v>107.72</v>
      </c>
      <c r="S367" s="1">
        <v>107.55999999999999</v>
      </c>
      <c r="T367" s="1">
        <v>108.03999999999999</v>
      </c>
      <c r="U367" s="1">
        <v>107.04</v>
      </c>
      <c r="V367" s="1">
        <v>107.9</v>
      </c>
      <c r="W367" s="1">
        <v>100.46666666666665</v>
      </c>
      <c r="X367" s="1">
        <v>106.6</v>
      </c>
      <c r="Y367" s="1">
        <v>106.25999999999999</v>
      </c>
      <c r="Z367" s="1">
        <v>105.34</v>
      </c>
      <c r="AA367" s="1">
        <v>104.66</v>
      </c>
      <c r="AB367" s="1">
        <v>104.28</v>
      </c>
      <c r="AC367" s="1">
        <v>104.9</v>
      </c>
      <c r="AD367" s="1">
        <v>103.04</v>
      </c>
      <c r="AE367" s="1">
        <v>104.8</v>
      </c>
      <c r="AF367" s="1">
        <v>106.18000000000002</v>
      </c>
      <c r="AG367" s="1">
        <f t="shared" si="36"/>
        <v>1390.34</v>
      </c>
      <c r="AH367" s="1">
        <f t="shared" si="37"/>
        <v>107.55999999999999</v>
      </c>
      <c r="AI367" s="1">
        <f t="shared" si="38"/>
        <v>322.98</v>
      </c>
      <c r="AJ367" s="1">
        <f t="shared" si="39"/>
        <v>100.46666666666665</v>
      </c>
      <c r="AK367" s="1">
        <f t="shared" si="40"/>
        <v>106.6</v>
      </c>
      <c r="AL367" s="1">
        <f t="shared" si="41"/>
        <v>733.27999999999986</v>
      </c>
    </row>
    <row r="368" spans="1:38" x14ac:dyDescent="0.3">
      <c r="A368" t="s">
        <v>28</v>
      </c>
      <c r="B368" s="1">
        <v>2013</v>
      </c>
      <c r="C368" t="s">
        <v>32</v>
      </c>
      <c r="D368" t="str">
        <f t="shared" si="35"/>
        <v>2013-February</v>
      </c>
      <c r="E368" s="1">
        <v>2</v>
      </c>
      <c r="F368" s="1">
        <v>111.32</v>
      </c>
      <c r="G368" s="1">
        <v>110.4</v>
      </c>
      <c r="H368" s="1">
        <v>112.6</v>
      </c>
      <c r="I368" s="1">
        <v>104.84</v>
      </c>
      <c r="J368" s="1">
        <v>104.92</v>
      </c>
      <c r="K368" s="1">
        <v>104.26</v>
      </c>
      <c r="L368" s="1">
        <v>103.14</v>
      </c>
      <c r="M368" s="1">
        <v>104.9</v>
      </c>
      <c r="N368" s="1">
        <v>104.44</v>
      </c>
      <c r="O368" s="1">
        <v>102.78</v>
      </c>
      <c r="P368" s="1">
        <v>105.84</v>
      </c>
      <c r="Q368" s="1">
        <v>108.6</v>
      </c>
      <c r="R368" s="1">
        <v>106.8</v>
      </c>
      <c r="S368" s="1">
        <v>106.12</v>
      </c>
      <c r="T368" s="1">
        <v>107.08000000000001</v>
      </c>
      <c r="U368" s="1">
        <v>106.12</v>
      </c>
      <c r="V368" s="1">
        <v>106.94000000000001</v>
      </c>
      <c r="W368" s="1">
        <v>100.40000000000002</v>
      </c>
      <c r="X368" s="1">
        <v>106</v>
      </c>
      <c r="Y368" s="1">
        <v>105.38000000000002</v>
      </c>
      <c r="Z368" s="1">
        <v>104.7</v>
      </c>
      <c r="AA368" s="1">
        <v>104.52000000000001</v>
      </c>
      <c r="AB368" s="1">
        <v>103.67999999999999</v>
      </c>
      <c r="AC368" s="1">
        <v>103.96000000000001</v>
      </c>
      <c r="AD368" s="1">
        <v>104.38</v>
      </c>
      <c r="AE368" s="1">
        <v>104.52000000000001</v>
      </c>
      <c r="AF368" s="1">
        <v>105.35999999999999</v>
      </c>
      <c r="AG368" s="1">
        <f t="shared" si="36"/>
        <v>1384.8399999999997</v>
      </c>
      <c r="AH368" s="1">
        <f t="shared" si="37"/>
        <v>106.12</v>
      </c>
      <c r="AI368" s="1">
        <f t="shared" si="38"/>
        <v>320.14000000000004</v>
      </c>
      <c r="AJ368" s="1">
        <f t="shared" si="39"/>
        <v>100.40000000000002</v>
      </c>
      <c r="AK368" s="1">
        <f t="shared" si="40"/>
        <v>106</v>
      </c>
      <c r="AL368" s="1">
        <f t="shared" si="41"/>
        <v>731.14</v>
      </c>
    </row>
    <row r="369" spans="1:38" x14ac:dyDescent="0.3">
      <c r="A369" t="s">
        <v>30</v>
      </c>
      <c r="B369" s="1">
        <v>2013</v>
      </c>
      <c r="C369" t="s">
        <v>32</v>
      </c>
      <c r="D369" t="str">
        <f t="shared" si="35"/>
        <v>2013-February</v>
      </c>
      <c r="E369" s="1">
        <v>2</v>
      </c>
      <c r="F369" s="1">
        <v>111.76</v>
      </c>
      <c r="G369" s="1">
        <v>110.6</v>
      </c>
      <c r="H369" s="1">
        <v>112.8</v>
      </c>
      <c r="I369" s="1">
        <v>104.78</v>
      </c>
      <c r="J369" s="1">
        <v>104.56</v>
      </c>
      <c r="K369" s="1">
        <v>104.52</v>
      </c>
      <c r="L369" s="1">
        <v>103.1</v>
      </c>
      <c r="M369" s="1">
        <v>104.72</v>
      </c>
      <c r="N369" s="1">
        <v>104.14</v>
      </c>
      <c r="O369" s="1">
        <v>102.75999999999999</v>
      </c>
      <c r="P369" s="1">
        <v>106.06000000000002</v>
      </c>
      <c r="Q369" s="1">
        <v>108.84</v>
      </c>
      <c r="R369" s="1">
        <v>106.92</v>
      </c>
      <c r="S369" s="1">
        <v>106.32000000000001</v>
      </c>
      <c r="T369" s="1">
        <v>107.14000000000001</v>
      </c>
      <c r="U369" s="1">
        <v>106.16</v>
      </c>
      <c r="V369" s="1">
        <v>107</v>
      </c>
      <c r="W369" s="1">
        <v>100.4</v>
      </c>
      <c r="X369" s="1">
        <v>105.97999999999999</v>
      </c>
      <c r="Y369" s="1">
        <v>105.46</v>
      </c>
      <c r="Z369" s="1">
        <v>104.8</v>
      </c>
      <c r="AA369" s="1">
        <v>104.76000000000002</v>
      </c>
      <c r="AB369" s="1">
        <v>103.62</v>
      </c>
      <c r="AC369" s="1">
        <v>103.94000000000001</v>
      </c>
      <c r="AD369" s="1">
        <v>104.32000000000001</v>
      </c>
      <c r="AE369" s="1">
        <v>104.58</v>
      </c>
      <c r="AF369" s="1">
        <v>105.3</v>
      </c>
      <c r="AG369" s="1">
        <f t="shared" si="36"/>
        <v>1385.56</v>
      </c>
      <c r="AH369" s="1">
        <f t="shared" si="37"/>
        <v>106.32000000000001</v>
      </c>
      <c r="AI369" s="1">
        <f t="shared" si="38"/>
        <v>320.3</v>
      </c>
      <c r="AJ369" s="1">
        <f t="shared" si="39"/>
        <v>100.4</v>
      </c>
      <c r="AK369" s="1">
        <f t="shared" si="40"/>
        <v>105.97999999999999</v>
      </c>
      <c r="AL369" s="1">
        <f t="shared" si="41"/>
        <v>731.48000000000013</v>
      </c>
    </row>
    <row r="370" spans="1:38" x14ac:dyDescent="0.3">
      <c r="A370" t="s">
        <v>31</v>
      </c>
      <c r="B370" s="1">
        <v>2013</v>
      </c>
      <c r="C370" t="s">
        <v>32</v>
      </c>
      <c r="D370" t="str">
        <f t="shared" si="35"/>
        <v>2013-February</v>
      </c>
      <c r="E370" s="1">
        <v>2</v>
      </c>
      <c r="F370" s="1">
        <v>111.22</v>
      </c>
      <c r="G370" s="1">
        <v>109.92</v>
      </c>
      <c r="H370" s="1">
        <v>110.8</v>
      </c>
      <c r="I370" s="1">
        <v>105.24</v>
      </c>
      <c r="J370" s="1">
        <v>105</v>
      </c>
      <c r="K370" s="1">
        <v>105.56</v>
      </c>
      <c r="L370" s="1">
        <v>102.8</v>
      </c>
      <c r="M370" s="1">
        <v>105.04</v>
      </c>
      <c r="N370" s="1">
        <v>104.22</v>
      </c>
      <c r="O370" s="1">
        <v>102.94000000000001</v>
      </c>
      <c r="P370" s="1">
        <v>106.16</v>
      </c>
      <c r="Q370" s="1">
        <v>108.8</v>
      </c>
      <c r="R370" s="1">
        <v>106.9</v>
      </c>
      <c r="S370" s="1">
        <v>106.54</v>
      </c>
      <c r="T370" s="1">
        <v>107.44000000000001</v>
      </c>
      <c r="U370" s="1">
        <v>106.54</v>
      </c>
      <c r="V370" s="1">
        <v>107.32000000000001</v>
      </c>
      <c r="W370" s="1">
        <v>100.40000000000002</v>
      </c>
      <c r="X370" s="1">
        <v>106.14000000000001</v>
      </c>
      <c r="Y370" s="1">
        <v>105.64000000000001</v>
      </c>
      <c r="Z370" s="1">
        <v>104.88</v>
      </c>
      <c r="AA370" s="1">
        <v>104.75999999999999</v>
      </c>
      <c r="AB370" s="1">
        <v>103.85999999999999</v>
      </c>
      <c r="AC370" s="1">
        <v>104.16</v>
      </c>
      <c r="AD370" s="1">
        <v>104</v>
      </c>
      <c r="AE370" s="1">
        <v>104.63999999999999</v>
      </c>
      <c r="AF370" s="1">
        <v>105.64000000000001</v>
      </c>
      <c r="AG370" s="1">
        <f t="shared" si="36"/>
        <v>1384.6000000000001</v>
      </c>
      <c r="AH370" s="1">
        <f t="shared" si="37"/>
        <v>106.54</v>
      </c>
      <c r="AI370" s="1">
        <f t="shared" si="38"/>
        <v>321.3</v>
      </c>
      <c r="AJ370" s="1">
        <f t="shared" si="39"/>
        <v>100.40000000000002</v>
      </c>
      <c r="AK370" s="1">
        <f t="shared" si="40"/>
        <v>106.14000000000001</v>
      </c>
      <c r="AL370" s="1">
        <f t="shared" si="41"/>
        <v>731.93999999999994</v>
      </c>
    </row>
    <row r="371" spans="1:38" x14ac:dyDescent="0.3">
      <c r="A371" t="s">
        <v>28</v>
      </c>
      <c r="B371" s="1">
        <v>2013</v>
      </c>
      <c r="C371" t="s">
        <v>29</v>
      </c>
      <c r="D371" t="str">
        <f t="shared" si="35"/>
        <v>2013-January</v>
      </c>
      <c r="E371" s="1">
        <v>1</v>
      </c>
      <c r="F371" s="1">
        <v>109.7</v>
      </c>
      <c r="G371" s="1">
        <v>108.86</v>
      </c>
      <c r="H371" s="1">
        <v>111.64</v>
      </c>
      <c r="I371" s="1">
        <v>104.46</v>
      </c>
      <c r="J371" s="1">
        <v>104.96</v>
      </c>
      <c r="K371" s="1">
        <v>103.3</v>
      </c>
      <c r="L371" s="1">
        <v>102.86</v>
      </c>
      <c r="M371" s="1">
        <v>105.58</v>
      </c>
      <c r="N371" s="1">
        <v>105.52</v>
      </c>
      <c r="O371" s="1">
        <v>102.59999999999998</v>
      </c>
      <c r="P371" s="1">
        <v>105.17999999999999</v>
      </c>
      <c r="Q371" s="1">
        <v>107.72</v>
      </c>
      <c r="R371" s="1">
        <v>106.1</v>
      </c>
      <c r="S371" s="1">
        <v>105.4</v>
      </c>
      <c r="T371" s="1">
        <v>106.47999999999999</v>
      </c>
      <c r="U371" s="1">
        <v>105.62</v>
      </c>
      <c r="V371" s="1">
        <v>106.35999999999999</v>
      </c>
      <c r="W371" s="1">
        <v>100.33333333333333</v>
      </c>
      <c r="X371" s="1">
        <v>105.66</v>
      </c>
      <c r="Y371" s="1">
        <v>104.96</v>
      </c>
      <c r="Z371" s="1">
        <v>104.24000000000001</v>
      </c>
      <c r="AA371" s="1">
        <v>103.6</v>
      </c>
      <c r="AB371" s="1">
        <v>103.33999999999999</v>
      </c>
      <c r="AC371" s="1">
        <v>103.74000000000001</v>
      </c>
      <c r="AD371" s="1">
        <v>104.47999999999999</v>
      </c>
      <c r="AE371" s="1">
        <v>104.05999999999999</v>
      </c>
      <c r="AF371" s="1">
        <v>104.84</v>
      </c>
      <c r="AG371" s="1">
        <f t="shared" si="36"/>
        <v>1378.48</v>
      </c>
      <c r="AH371" s="1">
        <f t="shared" si="37"/>
        <v>105.4</v>
      </c>
      <c r="AI371" s="1">
        <f t="shared" si="38"/>
        <v>318.45999999999998</v>
      </c>
      <c r="AJ371" s="1">
        <f t="shared" si="39"/>
        <v>100.33333333333333</v>
      </c>
      <c r="AK371" s="1">
        <f t="shared" si="40"/>
        <v>105.66</v>
      </c>
      <c r="AL371" s="1">
        <f t="shared" si="41"/>
        <v>728.41999999999985</v>
      </c>
    </row>
    <row r="372" spans="1:38" x14ac:dyDescent="0.3">
      <c r="A372" t="s">
        <v>30</v>
      </c>
      <c r="B372" s="1">
        <v>2013</v>
      </c>
      <c r="C372" t="s">
        <v>29</v>
      </c>
      <c r="D372" t="str">
        <f t="shared" si="35"/>
        <v>2013-January</v>
      </c>
      <c r="E372" s="1">
        <v>1</v>
      </c>
      <c r="F372" s="1">
        <v>110.28</v>
      </c>
      <c r="G372" s="1">
        <v>109.64</v>
      </c>
      <c r="H372" s="1">
        <v>112.58</v>
      </c>
      <c r="I372" s="1">
        <v>104.46</v>
      </c>
      <c r="J372" s="1">
        <v>104.84</v>
      </c>
      <c r="K372" s="1">
        <v>103.24</v>
      </c>
      <c r="L372" s="1">
        <v>103.12</v>
      </c>
      <c r="M372" s="1">
        <v>105.42</v>
      </c>
      <c r="N372" s="1">
        <v>105.18</v>
      </c>
      <c r="O372" s="1">
        <v>102.54</v>
      </c>
      <c r="P372" s="1">
        <v>105.32000000000001</v>
      </c>
      <c r="Q372" s="1">
        <v>108.03999999999999</v>
      </c>
      <c r="R372" s="1">
        <v>106.32000000000001</v>
      </c>
      <c r="S372" s="1">
        <v>105.52000000000001</v>
      </c>
      <c r="T372" s="1">
        <v>106.55999999999999</v>
      </c>
      <c r="U372" s="1">
        <v>105.66</v>
      </c>
      <c r="V372" s="1">
        <v>106.43999999999998</v>
      </c>
      <c r="W372" s="1">
        <v>100.35</v>
      </c>
      <c r="X372" s="1">
        <v>105.75999999999999</v>
      </c>
      <c r="Y372" s="1">
        <v>105.04</v>
      </c>
      <c r="Z372" s="1">
        <v>104.34</v>
      </c>
      <c r="AA372" s="1">
        <v>103.78000000000002</v>
      </c>
      <c r="AB372" s="1">
        <v>103.38</v>
      </c>
      <c r="AC372" s="1">
        <v>103.75999999999999</v>
      </c>
      <c r="AD372" s="1">
        <v>104.44000000000001</v>
      </c>
      <c r="AE372" s="1">
        <v>104.14000000000001</v>
      </c>
      <c r="AF372" s="1">
        <v>104.88</v>
      </c>
      <c r="AG372" s="1">
        <f t="shared" si="36"/>
        <v>1380.9799999999998</v>
      </c>
      <c r="AH372" s="1">
        <f t="shared" si="37"/>
        <v>105.52000000000001</v>
      </c>
      <c r="AI372" s="1">
        <f t="shared" si="38"/>
        <v>318.65999999999997</v>
      </c>
      <c r="AJ372" s="1">
        <f t="shared" si="39"/>
        <v>100.35</v>
      </c>
      <c r="AK372" s="1">
        <f t="shared" si="40"/>
        <v>105.75999999999999</v>
      </c>
      <c r="AL372" s="1">
        <f t="shared" si="41"/>
        <v>728.88</v>
      </c>
    </row>
    <row r="373" spans="1:38" x14ac:dyDescent="0.3">
      <c r="A373" t="s">
        <v>31</v>
      </c>
      <c r="B373" s="1">
        <v>2013</v>
      </c>
      <c r="C373" t="s">
        <v>29</v>
      </c>
      <c r="D373" t="str">
        <f t="shared" si="35"/>
        <v>2013-January</v>
      </c>
      <c r="E373" s="1">
        <v>1</v>
      </c>
      <c r="F373" s="1">
        <v>110.22</v>
      </c>
      <c r="G373" s="1">
        <v>109.58</v>
      </c>
      <c r="H373" s="1">
        <v>111.96</v>
      </c>
      <c r="I373" s="1">
        <v>104.86</v>
      </c>
      <c r="J373" s="1">
        <v>105.4</v>
      </c>
      <c r="K373" s="1">
        <v>103.92</v>
      </c>
      <c r="L373" s="1">
        <v>102.82</v>
      </c>
      <c r="M373" s="1">
        <v>105.4</v>
      </c>
      <c r="N373" s="1">
        <v>105.16</v>
      </c>
      <c r="O373" s="1">
        <v>102.84</v>
      </c>
      <c r="P373" s="1">
        <v>105.42</v>
      </c>
      <c r="Q373" s="1">
        <v>108.1</v>
      </c>
      <c r="R373" s="1">
        <v>106.46</v>
      </c>
      <c r="S373" s="1">
        <v>105.78</v>
      </c>
      <c r="T373" s="1">
        <v>106.9</v>
      </c>
      <c r="U373" s="1">
        <v>106.02000000000001</v>
      </c>
      <c r="V373" s="1">
        <v>106.78000000000002</v>
      </c>
      <c r="W373" s="1">
        <v>100.36666666666667</v>
      </c>
      <c r="X373" s="1">
        <v>105.9</v>
      </c>
      <c r="Y373" s="1">
        <v>105.2</v>
      </c>
      <c r="Z373" s="1">
        <v>104.46000000000001</v>
      </c>
      <c r="AA373" s="1">
        <v>104.05999999999999</v>
      </c>
      <c r="AB373" s="1">
        <v>103.6</v>
      </c>
      <c r="AC373" s="1">
        <v>103.91999999999999</v>
      </c>
      <c r="AD373" s="1">
        <v>104.43999999999998</v>
      </c>
      <c r="AE373" s="1">
        <v>104.32000000000001</v>
      </c>
      <c r="AF373" s="1">
        <v>105.28</v>
      </c>
      <c r="AG373" s="1">
        <f t="shared" si="36"/>
        <v>1382.1399999999999</v>
      </c>
      <c r="AH373" s="1">
        <f t="shared" si="37"/>
        <v>105.78</v>
      </c>
      <c r="AI373" s="1">
        <f t="shared" si="38"/>
        <v>319.70000000000005</v>
      </c>
      <c r="AJ373" s="1">
        <f t="shared" si="39"/>
        <v>100.36666666666667</v>
      </c>
      <c r="AK373" s="1">
        <f t="shared" si="40"/>
        <v>105.9</v>
      </c>
      <c r="AL373" s="1">
        <f t="shared" si="41"/>
        <v>730</v>
      </c>
    </row>
  </sheetData>
  <autoFilter ref="A1:AL373" xr:uid="{8EB8318B-F371-4FA2-AC49-C4D158ED507B}"/>
  <sortState xmlns:xlrd2="http://schemas.microsoft.com/office/spreadsheetml/2017/richdata2" ref="A2:AF373">
    <sortCondition descending="1" ref="B2:B373"/>
    <sortCondition descending="1" ref="E2:E373"/>
  </sortState>
  <pageMargins left="0.7" right="0.7" top="0.75" bottom="0.75" header="0.3" footer="0.3"/>
  <ignoredErrors>
    <ignoredError sqref="AG2:AG373 AI2:AI373 AL2:AL37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C117-0D23-45DC-AE19-063F5107C589}">
  <dimension ref="A1:N27"/>
  <sheetViews>
    <sheetView workbookViewId="0">
      <selection activeCell="K33" sqref="K33"/>
    </sheetView>
  </sheetViews>
  <sheetFormatPr defaultRowHeight="14.4" x14ac:dyDescent="0.3"/>
  <cols>
    <col min="1" max="1" width="28.33203125" style="2" bestFit="1" customWidth="1"/>
    <col min="2" max="2" width="24.6640625" bestFit="1" customWidth="1"/>
    <col min="5" max="5" width="24.6640625" bestFit="1" customWidth="1"/>
    <col min="6" max="6" width="9.88671875" style="1" customWidth="1"/>
    <col min="7" max="7" width="24.6640625" style="1" bestFit="1" customWidth="1"/>
    <col min="8" max="8" width="8.88671875" customWidth="1"/>
    <col min="9" max="9" width="11.6640625" bestFit="1" customWidth="1"/>
  </cols>
  <sheetData>
    <row r="1" spans="1:14" x14ac:dyDescent="0.3">
      <c r="A1" s="14" t="s">
        <v>48</v>
      </c>
      <c r="B1" s="15" t="s">
        <v>47</v>
      </c>
      <c r="G1" s="5" t="s">
        <v>47</v>
      </c>
      <c r="H1" s="6" t="s">
        <v>53</v>
      </c>
      <c r="I1" s="6" t="s">
        <v>54</v>
      </c>
    </row>
    <row r="2" spans="1:14" x14ac:dyDescent="0.3">
      <c r="A2" s="9" t="s">
        <v>3</v>
      </c>
      <c r="B2" s="3" t="s">
        <v>49</v>
      </c>
      <c r="G2" s="3" t="s">
        <v>49</v>
      </c>
      <c r="H2" s="4">
        <f>SUM('Cleaned Data'!F4:R4)</f>
        <v>2306.9</v>
      </c>
      <c r="I2" s="7">
        <f t="shared" ref="I2:I7" si="0">H2/$H$8*100</f>
        <v>49.563853557923679</v>
      </c>
    </row>
    <row r="3" spans="1:14" x14ac:dyDescent="0.3">
      <c r="A3" s="9" t="s">
        <v>4</v>
      </c>
      <c r="B3" s="3" t="s">
        <v>49</v>
      </c>
      <c r="G3" s="3" t="s">
        <v>15</v>
      </c>
      <c r="H3" s="4">
        <v>201</v>
      </c>
      <c r="I3" s="7">
        <f t="shared" si="0"/>
        <v>4.3184943279477483</v>
      </c>
    </row>
    <row r="4" spans="1:14" x14ac:dyDescent="0.3">
      <c r="A4" s="9" t="s">
        <v>5</v>
      </c>
      <c r="B4" s="3" t="s">
        <v>49</v>
      </c>
      <c r="G4" s="3" t="s">
        <v>50</v>
      </c>
      <c r="H4" s="4">
        <f>SUM('Cleaned Data'!T4:V4)</f>
        <v>553.20000000000005</v>
      </c>
      <c r="I4" s="7">
        <f t="shared" si="0"/>
        <v>11.885527672739773</v>
      </c>
    </row>
    <row r="5" spans="1:14" x14ac:dyDescent="0.3">
      <c r="A5" s="9" t="s">
        <v>6</v>
      </c>
      <c r="B5" s="3" t="s">
        <v>49</v>
      </c>
      <c r="G5" s="3" t="s">
        <v>19</v>
      </c>
      <c r="H5" s="4">
        <v>175.6</v>
      </c>
      <c r="I5" s="7">
        <f t="shared" si="0"/>
        <v>3.7727741491921618</v>
      </c>
    </row>
    <row r="6" spans="1:14" x14ac:dyDescent="0.3">
      <c r="A6" s="9" t="s">
        <v>7</v>
      </c>
      <c r="B6" s="3" t="s">
        <v>49</v>
      </c>
      <c r="G6" s="3" t="s">
        <v>51</v>
      </c>
      <c r="H6" s="4">
        <v>182.8</v>
      </c>
      <c r="I6" s="7">
        <f t="shared" si="0"/>
        <v>3.9274664833276041</v>
      </c>
    </row>
    <row r="7" spans="1:14" x14ac:dyDescent="0.3">
      <c r="A7" s="9" t="s">
        <v>8</v>
      </c>
      <c r="B7" s="3" t="s">
        <v>49</v>
      </c>
      <c r="G7" s="3" t="s">
        <v>52</v>
      </c>
      <c r="H7" s="4">
        <f>SUM('Cleaned Data'!Y4:AE4)</f>
        <v>1234.9000000000001</v>
      </c>
      <c r="I7" s="7">
        <f t="shared" si="0"/>
        <v>26.531883808869029</v>
      </c>
    </row>
    <row r="8" spans="1:14" x14ac:dyDescent="0.3">
      <c r="A8" s="9" t="s">
        <v>9</v>
      </c>
      <c r="B8" s="3" t="s">
        <v>49</v>
      </c>
      <c r="G8" s="5" t="s">
        <v>55</v>
      </c>
      <c r="H8" s="6">
        <f>SUM(H2:H7)</f>
        <v>4654.4000000000005</v>
      </c>
      <c r="I8" s="6"/>
    </row>
    <row r="9" spans="1:14" x14ac:dyDescent="0.3">
      <c r="A9" s="9" t="s">
        <v>10</v>
      </c>
      <c r="B9" s="3" t="s">
        <v>49</v>
      </c>
    </row>
    <row r="10" spans="1:14" x14ac:dyDescent="0.3">
      <c r="A10" s="9" t="s">
        <v>11</v>
      </c>
      <c r="B10" s="3" t="s">
        <v>49</v>
      </c>
    </row>
    <row r="11" spans="1:14" x14ac:dyDescent="0.3">
      <c r="A11" s="9" t="s">
        <v>12</v>
      </c>
      <c r="B11" s="3" t="s">
        <v>49</v>
      </c>
    </row>
    <row r="12" spans="1:14" x14ac:dyDescent="0.3">
      <c r="A12" s="9" t="s">
        <v>13</v>
      </c>
      <c r="B12" s="3" t="s">
        <v>49</v>
      </c>
      <c r="J12" s="1"/>
      <c r="M12" s="1"/>
      <c r="N12" s="1"/>
    </row>
    <row r="13" spans="1:14" x14ac:dyDescent="0.3">
      <c r="A13" s="9" t="s">
        <v>44</v>
      </c>
      <c r="B13" s="3" t="s">
        <v>49</v>
      </c>
      <c r="J13" s="1"/>
      <c r="M13" s="1"/>
      <c r="N13" s="1"/>
    </row>
    <row r="14" spans="1:14" x14ac:dyDescent="0.3">
      <c r="A14" s="9" t="s">
        <v>14</v>
      </c>
      <c r="B14" s="3" t="s">
        <v>49</v>
      </c>
    </row>
    <row r="15" spans="1:14" x14ac:dyDescent="0.3">
      <c r="A15" s="9" t="s">
        <v>15</v>
      </c>
      <c r="B15" s="3" t="s">
        <v>15</v>
      </c>
    </row>
    <row r="16" spans="1:14" x14ac:dyDescent="0.3">
      <c r="A16" s="9" t="s">
        <v>16</v>
      </c>
      <c r="B16" s="3" t="s">
        <v>50</v>
      </c>
      <c r="G16"/>
      <c r="H16" s="1"/>
      <c r="I16" s="1"/>
    </row>
    <row r="17" spans="1:9" x14ac:dyDescent="0.3">
      <c r="A17" s="9" t="s">
        <v>17</v>
      </c>
      <c r="B17" s="3" t="s">
        <v>50</v>
      </c>
    </row>
    <row r="18" spans="1:9" x14ac:dyDescent="0.3">
      <c r="A18" s="9" t="s">
        <v>18</v>
      </c>
      <c r="B18" s="3" t="s">
        <v>50</v>
      </c>
      <c r="G18"/>
      <c r="H18" s="1"/>
      <c r="I18" s="1"/>
    </row>
    <row r="19" spans="1:9" x14ac:dyDescent="0.3">
      <c r="A19" s="9" t="s">
        <v>19</v>
      </c>
      <c r="B19" s="3" t="s">
        <v>19</v>
      </c>
      <c r="G19"/>
      <c r="H19" s="1"/>
      <c r="I19" s="1"/>
    </row>
    <row r="20" spans="1:9" x14ac:dyDescent="0.3">
      <c r="A20" s="9" t="s">
        <v>20</v>
      </c>
      <c r="B20" s="3" t="s">
        <v>51</v>
      </c>
    </row>
    <row r="21" spans="1:9" x14ac:dyDescent="0.3">
      <c r="A21" s="9" t="s">
        <v>21</v>
      </c>
      <c r="B21" s="3" t="s">
        <v>52</v>
      </c>
      <c r="G21"/>
      <c r="H21" s="1"/>
      <c r="I21" s="1"/>
    </row>
    <row r="22" spans="1:9" x14ac:dyDescent="0.3">
      <c r="A22" s="9" t="s">
        <v>22</v>
      </c>
      <c r="B22" s="3" t="s">
        <v>52</v>
      </c>
    </row>
    <row r="23" spans="1:9" x14ac:dyDescent="0.3">
      <c r="A23" s="9" t="s">
        <v>23</v>
      </c>
      <c r="B23" s="3" t="s">
        <v>52</v>
      </c>
    </row>
    <row r="24" spans="1:9" x14ac:dyDescent="0.3">
      <c r="A24" s="9" t="s">
        <v>24</v>
      </c>
      <c r="B24" s="3" t="s">
        <v>52</v>
      </c>
    </row>
    <row r="25" spans="1:9" x14ac:dyDescent="0.3">
      <c r="A25" s="9" t="s">
        <v>25</v>
      </c>
      <c r="B25" s="3" t="s">
        <v>52</v>
      </c>
    </row>
    <row r="26" spans="1:9" x14ac:dyDescent="0.3">
      <c r="A26" s="9" t="s">
        <v>45</v>
      </c>
      <c r="B26" s="3" t="s">
        <v>52</v>
      </c>
    </row>
    <row r="27" spans="1:9" x14ac:dyDescent="0.3">
      <c r="A27" s="9" t="s">
        <v>26</v>
      </c>
      <c r="B27" s="3" t="s">
        <v>52</v>
      </c>
    </row>
  </sheetData>
  <pageMargins left="0.7" right="0.7" top="0.75" bottom="0.75" header="0.3" footer="0.3"/>
  <ignoredErrors>
    <ignoredError sqref="H2 H4 H7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FB5B-DD76-4A17-8E02-5B2AB26E1BAE}">
  <dimension ref="B2:Q18"/>
  <sheetViews>
    <sheetView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15.77734375" style="1" customWidth="1"/>
    <col min="3" max="3" width="10.77734375" customWidth="1"/>
    <col min="4" max="4" width="11.44140625" customWidth="1"/>
    <col min="5" max="5" width="11.109375" customWidth="1"/>
    <col min="6" max="6" width="9.109375" customWidth="1"/>
    <col min="11" max="11" width="12.88671875" style="1" customWidth="1"/>
    <col min="12" max="12" width="17.5546875" style="1" bestFit="1" customWidth="1"/>
    <col min="13" max="13" width="24.6640625" style="1" bestFit="1" customWidth="1"/>
    <col min="14" max="14" width="19.6640625" style="1" bestFit="1" customWidth="1"/>
    <col min="15" max="15" width="10.5546875" style="1" customWidth="1"/>
    <col min="16" max="16" width="12.109375" style="1" bestFit="1" customWidth="1"/>
    <col min="17" max="17" width="11.6640625" style="1" customWidth="1"/>
  </cols>
  <sheetData>
    <row r="2" spans="2:17" ht="15.6" x14ac:dyDescent="0.3">
      <c r="C2" s="47" t="s">
        <v>63</v>
      </c>
      <c r="D2" s="47"/>
      <c r="E2" s="47"/>
      <c r="F2" s="47"/>
    </row>
    <row r="3" spans="2:17" x14ac:dyDescent="0.3">
      <c r="C3" s="10" t="s">
        <v>58</v>
      </c>
      <c r="D3" s="10" t="s">
        <v>29</v>
      </c>
      <c r="E3" s="10" t="s">
        <v>43</v>
      </c>
      <c r="F3" s="10" t="s">
        <v>59</v>
      </c>
      <c r="K3" s="16" t="s">
        <v>60</v>
      </c>
      <c r="L3" s="16" t="s">
        <v>49</v>
      </c>
      <c r="M3" s="16" t="s">
        <v>15</v>
      </c>
      <c r="N3" s="16" t="s">
        <v>50</v>
      </c>
      <c r="O3" s="16" t="s">
        <v>19</v>
      </c>
      <c r="P3" s="16" t="s">
        <v>51</v>
      </c>
      <c r="Q3" s="16" t="s">
        <v>52</v>
      </c>
    </row>
    <row r="4" spans="2:17" x14ac:dyDescent="0.3">
      <c r="C4" s="11">
        <v>2017</v>
      </c>
      <c r="D4" s="11">
        <f>SUMIFS('Cleaned Data'!AF:AF,'Cleaned Data'!A:A,"Rural+Urban",'Cleaned Data'!B:B,"2017",'Cleaned Data'!C:C,"January")</f>
        <v>130.9</v>
      </c>
      <c r="E4" s="11">
        <f>SUMIFS('Cleaned Data'!AF:AF,'Cleaned Data'!B:B,"2017",'Cleaned Data'!A:A,"Rural+Urban",'Cleaned Data'!C:C,"December")</f>
        <v>137.19999999999999</v>
      </c>
      <c r="F4" s="12">
        <f>(E4-D4)/(D4)</f>
        <v>4.8128342245989171E-2</v>
      </c>
      <c r="K4" s="4" t="s">
        <v>29</v>
      </c>
      <c r="L4" s="4">
        <v>135.16</v>
      </c>
      <c r="M4" s="4">
        <v>163.44</v>
      </c>
      <c r="N4" s="4">
        <v>145.06</v>
      </c>
      <c r="O4" s="4">
        <v>148.22999999999999</v>
      </c>
      <c r="P4" s="4">
        <v>139.33999999999997</v>
      </c>
      <c r="Q4" s="4">
        <v>139.72</v>
      </c>
    </row>
    <row r="5" spans="2:17" x14ac:dyDescent="0.3">
      <c r="C5" s="11">
        <v>2018</v>
      </c>
      <c r="D5" s="11">
        <f>SUMIFS('Cleaned Data'!AF:AF,'Cleaned Data'!A:A,"Rural+Urban",'Cleaned Data'!B:B,"2018",'Cleaned Data'!C:C,"January")</f>
        <v>136.9</v>
      </c>
      <c r="E5" s="11">
        <f>SUMIFS('Cleaned Data'!AF:AF,'Cleaned Data'!B:B,"2018",'Cleaned Data'!A:A,"Rural+Urban",'Cleaned Data'!C:C,"December")</f>
        <v>139.94</v>
      </c>
      <c r="F5" s="12">
        <f t="shared" ref="F5:F9" si="0">(E5-D5)/(D5)</f>
        <v>2.2205989773557283E-2</v>
      </c>
      <c r="K5" s="4" t="s">
        <v>43</v>
      </c>
      <c r="L5" s="4">
        <v>148.91999999999999</v>
      </c>
      <c r="M5" s="4">
        <v>169.3</v>
      </c>
      <c r="N5" s="4">
        <v>147.46</v>
      </c>
      <c r="O5" s="4">
        <v>153.53</v>
      </c>
      <c r="P5" s="4">
        <v>145.22000000000003</v>
      </c>
      <c r="Q5" s="4">
        <v>145.53</v>
      </c>
    </row>
    <row r="6" spans="2:17" x14ac:dyDescent="0.3">
      <c r="C6" s="11">
        <v>2019</v>
      </c>
      <c r="D6" s="11">
        <f>SUMIFS('Cleaned Data'!AF:AF,'Cleaned Data'!A:A,"Rural+Urban",'Cleaned Data'!B:B,"2019",'Cleaned Data'!C:C,"January")</f>
        <v>140.06</v>
      </c>
      <c r="E6" s="11">
        <f>SUMIFS('Cleaned Data'!AF:AF,'Cleaned Data'!B:B,"2019",'Cleaned Data'!A:A,"Rural+Urban",'Cleaned Data'!C:C,"December")</f>
        <v>150.22</v>
      </c>
      <c r="F6" s="12">
        <f t="shared" si="0"/>
        <v>7.2540339854348115E-2</v>
      </c>
      <c r="K6" s="16" t="s">
        <v>61</v>
      </c>
      <c r="L6" s="17">
        <f>(L5-L4)/(L4)</f>
        <v>0.10180526783071908</v>
      </c>
      <c r="M6" s="18">
        <f t="shared" ref="M6:Q6" si="1">(M5-M4)/(M4)</f>
        <v>3.5854136074400474E-2</v>
      </c>
      <c r="N6" s="18">
        <f t="shared" si="1"/>
        <v>1.6544877981524927E-2</v>
      </c>
      <c r="O6" s="18">
        <f t="shared" si="1"/>
        <v>3.5755245227012157E-2</v>
      </c>
      <c r="P6" s="18">
        <f t="shared" si="1"/>
        <v>4.2198937849864025E-2</v>
      </c>
      <c r="Q6" s="18">
        <f t="shared" si="1"/>
        <v>4.1583166332665344E-2</v>
      </c>
    </row>
    <row r="7" spans="2:17" x14ac:dyDescent="0.3">
      <c r="C7" s="11">
        <v>2020</v>
      </c>
      <c r="D7" s="11">
        <f>SUMIFS('Cleaned Data'!AF:AF,'Cleaned Data'!A:A,"Rural+Urban",'Cleaned Data'!B:B,"2020",'Cleaned Data'!C:C,"January")</f>
        <v>149.44</v>
      </c>
      <c r="E7" s="11">
        <f>SUMIFS('Cleaned Data'!AF:AF,'Cleaned Data'!B:B,"2020",'Cleaned Data'!A:A,"Rural+Urban",'Cleaned Data'!C:C,"December")</f>
        <v>157.48000000000002</v>
      </c>
      <c r="F7" s="12">
        <f t="shared" si="0"/>
        <v>5.3800856531049386E-2</v>
      </c>
    </row>
    <row r="8" spans="2:17" x14ac:dyDescent="0.3">
      <c r="C8" s="11">
        <v>2021</v>
      </c>
      <c r="D8" s="11">
        <f>SUMIFS('Cleaned Data'!AF:AF,'Cleaned Data'!A:A,"Rural+Urban",'Cleaned Data'!B:B,"2021",'Cleaned Data'!C:C,"January")</f>
        <v>156.76</v>
      </c>
      <c r="E8" s="11">
        <f>SUMIFS('Cleaned Data'!AF:AF,'Cleaned Data'!B:B,"2021",'Cleaned Data'!A:A,"Rural+Urban",'Cleaned Data'!C:C,"December")</f>
        <v>166</v>
      </c>
      <c r="F8" s="12">
        <f t="shared" si="0"/>
        <v>5.8943608063281513E-2</v>
      </c>
    </row>
    <row r="9" spans="2:17" x14ac:dyDescent="0.3">
      <c r="B9"/>
      <c r="C9" s="11">
        <v>2022</v>
      </c>
      <c r="D9" s="11">
        <f>SUMIFS('Cleaned Data'!AF:AF,'Cleaned Data'!A:A,"Rural+Urban",'Cleaned Data'!B:B,"2022",'Cleaned Data'!C:C,"January")</f>
        <v>166.54000000000002</v>
      </c>
      <c r="E9" s="11">
        <f>SUMIFS('Cleaned Data'!AF:AF,'Cleaned Data'!B:B,"2022",'Cleaned Data'!A:A,"Rural+Urban",'Cleaned Data'!C:C,"December")</f>
        <v>176.57999999999998</v>
      </c>
      <c r="F9" s="12">
        <f t="shared" si="0"/>
        <v>6.0285817221087799E-2</v>
      </c>
    </row>
    <row r="10" spans="2:17" ht="14.4" customHeight="1" x14ac:dyDescent="0.3">
      <c r="B10"/>
      <c r="K10" s="46" t="s">
        <v>62</v>
      </c>
      <c r="L10" s="46"/>
      <c r="M10" s="46"/>
      <c r="N10" s="46"/>
      <c r="O10" s="46"/>
      <c r="P10" s="46"/>
      <c r="Q10" s="46"/>
    </row>
    <row r="11" spans="2:17" ht="14.4" customHeight="1" x14ac:dyDescent="0.3">
      <c r="B11"/>
      <c r="K11" s="46"/>
      <c r="L11" s="46"/>
      <c r="M11" s="46"/>
      <c r="N11" s="46"/>
      <c r="O11" s="46"/>
      <c r="P11" s="46"/>
      <c r="Q11" s="46"/>
    </row>
    <row r="12" spans="2:17" ht="14.4" customHeight="1" x14ac:dyDescent="0.3">
      <c r="B12"/>
      <c r="K12" s="46"/>
      <c r="L12" s="46"/>
      <c r="M12" s="46"/>
      <c r="N12" s="46"/>
      <c r="O12" s="46"/>
      <c r="P12" s="46"/>
      <c r="Q12" s="46"/>
    </row>
    <row r="13" spans="2:17" ht="14.4" customHeight="1" x14ac:dyDescent="0.3">
      <c r="B13"/>
      <c r="K13" s="46"/>
      <c r="L13" s="46"/>
      <c r="M13" s="46"/>
      <c r="N13" s="46"/>
      <c r="O13" s="46"/>
      <c r="P13" s="46"/>
      <c r="Q13" s="46"/>
    </row>
    <row r="14" spans="2:17" x14ac:dyDescent="0.3">
      <c r="B14"/>
      <c r="K14" s="46"/>
      <c r="L14" s="46"/>
      <c r="M14" s="46"/>
      <c r="N14" s="46"/>
      <c r="O14" s="46"/>
      <c r="P14" s="46"/>
      <c r="Q14" s="46"/>
    </row>
    <row r="15" spans="2:17" x14ac:dyDescent="0.3">
      <c r="B15"/>
      <c r="K15" s="46"/>
      <c r="L15" s="46"/>
      <c r="M15" s="46"/>
      <c r="N15" s="46"/>
      <c r="O15" s="46"/>
      <c r="P15" s="46"/>
      <c r="Q15" s="46"/>
    </row>
    <row r="16" spans="2:17" x14ac:dyDescent="0.3">
      <c r="K16" s="46"/>
      <c r="L16" s="46"/>
      <c r="M16" s="46"/>
      <c r="N16" s="46"/>
      <c r="O16" s="46"/>
      <c r="P16" s="46"/>
      <c r="Q16" s="46"/>
    </row>
    <row r="17" spans="11:17" x14ac:dyDescent="0.3">
      <c r="K17" s="46"/>
      <c r="L17" s="46"/>
      <c r="M17" s="46"/>
      <c r="N17" s="46"/>
      <c r="O17" s="46"/>
      <c r="P17" s="46"/>
      <c r="Q17" s="46"/>
    </row>
    <row r="18" spans="11:17" x14ac:dyDescent="0.3">
      <c r="K18" s="46"/>
      <c r="L18" s="46"/>
      <c r="M18" s="46"/>
      <c r="N18" s="46"/>
      <c r="O18" s="46"/>
      <c r="P18" s="46"/>
      <c r="Q18" s="46"/>
    </row>
  </sheetData>
  <mergeCells count="2">
    <mergeCell ref="K10:Q18"/>
    <mergeCell ref="C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9516-879A-421A-ACBF-103ADDA30AF8}">
  <dimension ref="B1:AE40"/>
  <sheetViews>
    <sheetView zoomScale="89" workbookViewId="0">
      <selection activeCell="P16" sqref="P16"/>
    </sheetView>
  </sheetViews>
  <sheetFormatPr defaultRowHeight="14.4" x14ac:dyDescent="0.3"/>
  <cols>
    <col min="1" max="2" width="14.5546875" bestFit="1" customWidth="1"/>
    <col min="3" max="3" width="25.77734375" bestFit="1" customWidth="1"/>
    <col min="4" max="4" width="14.5546875" bestFit="1" customWidth="1"/>
    <col min="5" max="5" width="25.77734375" style="1" bestFit="1" customWidth="1"/>
    <col min="6" max="7" width="37.109375" bestFit="1" customWidth="1"/>
    <col min="8" max="8" width="14.5546875" bestFit="1" customWidth="1"/>
    <col min="9" max="9" width="25.77734375" style="1" bestFit="1" customWidth="1"/>
    <col min="10" max="10" width="11.109375" style="1" customWidth="1"/>
    <col min="11" max="11" width="43" bestFit="1" customWidth="1"/>
    <col min="12" max="12" width="14.5546875" bestFit="1" customWidth="1"/>
    <col min="13" max="13" width="12.5546875" bestFit="1" customWidth="1"/>
    <col min="14" max="14" width="13.5546875" bestFit="1" customWidth="1"/>
    <col min="15" max="15" width="12.5546875" bestFit="1" customWidth="1"/>
    <col min="16" max="16" width="23" bestFit="1" customWidth="1"/>
    <col min="17" max="17" width="17.88671875" bestFit="1" customWidth="1"/>
    <col min="18" max="18" width="14.5546875" bestFit="1" customWidth="1"/>
    <col min="19" max="19" width="16.77734375" bestFit="1" customWidth="1"/>
    <col min="20" max="20" width="24.5546875" bestFit="1" customWidth="1"/>
    <col min="21" max="21" width="28.6640625" bestFit="1" customWidth="1"/>
    <col min="22" max="22" width="12.6640625" bestFit="1" customWidth="1"/>
    <col min="23" max="23" width="28.5546875" bestFit="1" customWidth="1"/>
    <col min="24" max="24" width="35.77734375" bestFit="1" customWidth="1"/>
    <col min="25" max="25" width="24.6640625" bestFit="1" customWidth="1"/>
    <col min="26" max="167" width="35.77734375" bestFit="1" customWidth="1"/>
    <col min="168" max="168" width="30.21875" bestFit="1" customWidth="1"/>
    <col min="169" max="169" width="24" bestFit="1" customWidth="1"/>
    <col min="170" max="170" width="15.21875" bestFit="1" customWidth="1"/>
    <col min="171" max="171" width="27.77734375" bestFit="1" customWidth="1"/>
    <col min="172" max="172" width="22.6640625" bestFit="1" customWidth="1"/>
    <col min="173" max="173" width="16.77734375" bestFit="1" customWidth="1"/>
    <col min="174" max="174" width="21.6640625" bestFit="1" customWidth="1"/>
    <col min="175" max="175" width="29.33203125" bestFit="1" customWidth="1"/>
    <col min="176" max="176" width="33.44140625" bestFit="1" customWidth="1"/>
    <col min="177" max="177" width="17.5546875" bestFit="1" customWidth="1"/>
    <col min="178" max="178" width="33.33203125" bestFit="1" customWidth="1"/>
    <col min="179" max="179" width="40.5546875" bestFit="1" customWidth="1"/>
    <col min="180" max="181" width="29.5546875" bestFit="1" customWidth="1"/>
  </cols>
  <sheetData>
    <row r="1" spans="2:31" x14ac:dyDescent="0.3">
      <c r="B1" s="8" t="s">
        <v>2</v>
      </c>
      <c r="C1" s="3" t="s">
        <v>77</v>
      </c>
    </row>
    <row r="2" spans="2:31" ht="15.6" x14ac:dyDescent="0.3">
      <c r="B2" s="8" t="s">
        <v>0</v>
      </c>
      <c r="C2" s="3" t="s">
        <v>31</v>
      </c>
      <c r="K2" s="48" t="s">
        <v>108</v>
      </c>
      <c r="L2" s="49"/>
      <c r="M2" s="49"/>
      <c r="N2" s="50"/>
      <c r="R2" s="8" t="s">
        <v>2</v>
      </c>
      <c r="S2" s="3" t="s">
        <v>77</v>
      </c>
    </row>
    <row r="3" spans="2:31" ht="15.6" x14ac:dyDescent="0.3">
      <c r="B3" s="8" t="s">
        <v>1</v>
      </c>
      <c r="C3" s="3" t="s">
        <v>78</v>
      </c>
      <c r="E3" s="48" t="s">
        <v>81</v>
      </c>
      <c r="F3" s="49"/>
      <c r="G3" s="50"/>
      <c r="K3" s="5" t="s">
        <v>47</v>
      </c>
      <c r="L3" s="6" t="s">
        <v>68</v>
      </c>
      <c r="M3" s="6" t="s">
        <v>76</v>
      </c>
      <c r="N3" s="6" t="s">
        <v>80</v>
      </c>
      <c r="R3" s="8" t="s">
        <v>0</v>
      </c>
      <c r="S3" s="3" t="s">
        <v>31</v>
      </c>
    </row>
    <row r="4" spans="2:31" x14ac:dyDescent="0.3">
      <c r="C4" s="1"/>
      <c r="E4" s="5" t="s">
        <v>2</v>
      </c>
      <c r="F4" s="6" t="s">
        <v>79</v>
      </c>
      <c r="G4" s="6" t="s">
        <v>80</v>
      </c>
      <c r="K4" s="3" t="s">
        <v>95</v>
      </c>
      <c r="L4" s="4">
        <v>157.1</v>
      </c>
      <c r="M4" s="4">
        <v>173.7</v>
      </c>
      <c r="N4" s="12">
        <f>(M4-L4)/L4</f>
        <v>0.10566518141311264</v>
      </c>
      <c r="R4" s="8" t="s">
        <v>1</v>
      </c>
      <c r="S4" s="3" t="s">
        <v>78</v>
      </c>
    </row>
    <row r="5" spans="2:31" x14ac:dyDescent="0.3">
      <c r="B5" s="8" t="s">
        <v>56</v>
      </c>
      <c r="C5" s="4" t="s">
        <v>79</v>
      </c>
      <c r="E5" s="3" t="s">
        <v>68</v>
      </c>
      <c r="F5" s="4">
        <v>2265.62</v>
      </c>
      <c r="G5" s="19">
        <f>(F6-F5)/F6</f>
        <v>2.1756747234160738E-3</v>
      </c>
      <c r="K5" s="3" t="s">
        <v>96</v>
      </c>
      <c r="L5" s="4">
        <v>212.88</v>
      </c>
      <c r="M5" s="4">
        <v>214.3</v>
      </c>
      <c r="N5" s="12">
        <f t="shared" ref="N5:N16" si="0">(M5-L5)/L5</f>
        <v>6.6704246523863961E-3</v>
      </c>
      <c r="S5" s="1"/>
    </row>
    <row r="6" spans="2:31" x14ac:dyDescent="0.3">
      <c r="B6" s="9" t="s">
        <v>68</v>
      </c>
      <c r="C6" s="4">
        <v>2265.62</v>
      </c>
      <c r="E6" s="3" t="s">
        <v>67</v>
      </c>
      <c r="F6" s="4">
        <v>2270.5599999999995</v>
      </c>
      <c r="G6" s="19">
        <f t="shared" ref="G6:G16" si="1">(F6-F5)/F6</f>
        <v>2.1756747234160738E-3</v>
      </c>
      <c r="K6" s="3" t="s">
        <v>97</v>
      </c>
      <c r="L6" s="4">
        <v>173.04</v>
      </c>
      <c r="M6" s="4">
        <v>173.2</v>
      </c>
      <c r="N6" s="12">
        <f t="shared" si="0"/>
        <v>9.2464170134071079E-4</v>
      </c>
      <c r="R6" s="8" t="s">
        <v>56</v>
      </c>
      <c r="S6" s="3" t="s">
        <v>82</v>
      </c>
      <c r="T6" s="3" t="s">
        <v>83</v>
      </c>
      <c r="U6" s="3" t="s">
        <v>84</v>
      </c>
      <c r="V6" s="3" t="s">
        <v>85</v>
      </c>
      <c r="W6" s="3" t="s">
        <v>86</v>
      </c>
      <c r="X6" s="3" t="s">
        <v>87</v>
      </c>
      <c r="Y6" s="3" t="s">
        <v>88</v>
      </c>
      <c r="Z6" s="3" t="s">
        <v>89</v>
      </c>
      <c r="AA6" s="3" t="s">
        <v>90</v>
      </c>
      <c r="AB6" s="3" t="s">
        <v>91</v>
      </c>
      <c r="AC6" s="3" t="s">
        <v>92</v>
      </c>
      <c r="AD6" s="3" t="s">
        <v>93</v>
      </c>
      <c r="AE6" s="3" t="s">
        <v>94</v>
      </c>
    </row>
    <row r="7" spans="2:31" x14ac:dyDescent="0.3">
      <c r="B7" s="9" t="s">
        <v>67</v>
      </c>
      <c r="C7" s="4">
        <v>2270.5599999999995</v>
      </c>
      <c r="E7" s="3" t="s">
        <v>65</v>
      </c>
      <c r="F7" s="4">
        <v>2281.7599999999998</v>
      </c>
      <c r="G7" s="19">
        <f t="shared" si="1"/>
        <v>4.9084916906249011E-3</v>
      </c>
      <c r="K7" s="3" t="s">
        <v>98</v>
      </c>
      <c r="L7" s="4">
        <v>166.74</v>
      </c>
      <c r="M7" s="4">
        <v>179.5</v>
      </c>
      <c r="N7" s="12">
        <f t="shared" si="0"/>
        <v>7.6526328415497127E-2</v>
      </c>
      <c r="R7" s="9" t="s">
        <v>68</v>
      </c>
      <c r="S7" s="4">
        <v>157.1</v>
      </c>
      <c r="T7" s="4">
        <v>212.88</v>
      </c>
      <c r="U7" s="4">
        <v>173.04</v>
      </c>
      <c r="V7" s="4">
        <v>166.74</v>
      </c>
      <c r="W7" s="4">
        <v>196.36</v>
      </c>
      <c r="X7" s="4">
        <v>172.44</v>
      </c>
      <c r="Y7" s="4">
        <v>182.92</v>
      </c>
      <c r="Z7" s="4">
        <v>164.82</v>
      </c>
      <c r="AA7" s="4">
        <v>120.16</v>
      </c>
      <c r="AB7" s="4">
        <v>190.16000000000003</v>
      </c>
      <c r="AC7" s="4">
        <v>169.08</v>
      </c>
      <c r="AD7" s="4">
        <v>184.78000000000003</v>
      </c>
      <c r="AE7" s="4">
        <v>175.14</v>
      </c>
    </row>
    <row r="8" spans="2:31" x14ac:dyDescent="0.3">
      <c r="B8" s="9" t="s">
        <v>65</v>
      </c>
      <c r="C8" s="4">
        <v>2281.7599999999998</v>
      </c>
      <c r="E8" s="3" t="s">
        <v>71</v>
      </c>
      <c r="F8" s="4">
        <v>2294.54</v>
      </c>
      <c r="G8" s="19">
        <f t="shared" si="1"/>
        <v>5.5697438266494375E-3</v>
      </c>
      <c r="K8" s="3" t="s">
        <v>99</v>
      </c>
      <c r="L8" s="4">
        <v>196.36</v>
      </c>
      <c r="M8" s="4">
        <v>170</v>
      </c>
      <c r="N8" s="12">
        <f t="shared" si="0"/>
        <v>-0.13424322672642092</v>
      </c>
      <c r="R8" s="9" t="s">
        <v>67</v>
      </c>
      <c r="S8" s="4">
        <v>160.26</v>
      </c>
      <c r="T8" s="4">
        <v>208.24</v>
      </c>
      <c r="U8" s="4">
        <v>170.46</v>
      </c>
      <c r="V8" s="4">
        <v>168.1</v>
      </c>
      <c r="W8" s="4">
        <v>192.58</v>
      </c>
      <c r="X8" s="4">
        <v>171.5</v>
      </c>
      <c r="Y8" s="4">
        <v>186.38</v>
      </c>
      <c r="Z8" s="4">
        <v>166.98</v>
      </c>
      <c r="AA8" s="4">
        <v>120.82</v>
      </c>
      <c r="AB8" s="4">
        <v>193.6</v>
      </c>
      <c r="AC8" s="4">
        <v>169.57999999999998</v>
      </c>
      <c r="AD8" s="4">
        <v>185.84</v>
      </c>
      <c r="AE8" s="4">
        <v>176.21999999999997</v>
      </c>
    </row>
    <row r="9" spans="2:31" x14ac:dyDescent="0.3">
      <c r="B9" s="9" t="s">
        <v>71</v>
      </c>
      <c r="C9" s="4">
        <v>2294.54</v>
      </c>
      <c r="E9" s="3" t="s">
        <v>70</v>
      </c>
      <c r="F9" s="4">
        <v>2294.66</v>
      </c>
      <c r="G9" s="19">
        <f t="shared" si="1"/>
        <v>5.2295329155470031E-5</v>
      </c>
      <c r="K9" s="3" t="s">
        <v>100</v>
      </c>
      <c r="L9" s="4">
        <v>172.44</v>
      </c>
      <c r="M9" s="4">
        <v>172.2</v>
      </c>
      <c r="N9" s="12">
        <f t="shared" si="0"/>
        <v>-1.3917884481559331E-3</v>
      </c>
      <c r="R9" s="9" t="s">
        <v>65</v>
      </c>
      <c r="S9" s="4">
        <v>163.26</v>
      </c>
      <c r="T9" s="4">
        <v>208.98</v>
      </c>
      <c r="U9" s="4">
        <v>169.82</v>
      </c>
      <c r="V9" s="4">
        <v>169.66</v>
      </c>
      <c r="W9" s="4">
        <v>189.22</v>
      </c>
      <c r="X9" s="4">
        <v>166.48</v>
      </c>
      <c r="Y9" s="4">
        <v>192.2</v>
      </c>
      <c r="Z9" s="4">
        <v>168.84</v>
      </c>
      <c r="AA9" s="4">
        <v>121.5</v>
      </c>
      <c r="AB9" s="4">
        <v>197.04</v>
      </c>
      <c r="AC9" s="4">
        <v>170.1</v>
      </c>
      <c r="AD9" s="4">
        <v>186.9</v>
      </c>
      <c r="AE9" s="4">
        <v>177.76000000000002</v>
      </c>
    </row>
    <row r="10" spans="2:31" x14ac:dyDescent="0.3">
      <c r="B10" s="9" t="s">
        <v>70</v>
      </c>
      <c r="C10" s="4">
        <v>2294.66</v>
      </c>
      <c r="E10" s="3" t="s">
        <v>69</v>
      </c>
      <c r="F10" s="4">
        <v>2287.2600000000002</v>
      </c>
      <c r="G10" s="19">
        <f t="shared" si="1"/>
        <v>-3.23531212017857E-3</v>
      </c>
      <c r="K10" s="3" t="s">
        <v>101</v>
      </c>
      <c r="L10" s="4">
        <v>182.92</v>
      </c>
      <c r="M10" s="4">
        <v>161</v>
      </c>
      <c r="N10" s="12">
        <f t="shared" si="0"/>
        <v>-0.11983380712879942</v>
      </c>
      <c r="R10" s="9" t="s">
        <v>71</v>
      </c>
      <c r="S10" s="4">
        <v>165.34</v>
      </c>
      <c r="T10" s="4">
        <v>210.2</v>
      </c>
      <c r="U10" s="4">
        <v>172.6</v>
      </c>
      <c r="V10" s="4">
        <v>170.96</v>
      </c>
      <c r="W10" s="4">
        <v>187.7</v>
      </c>
      <c r="X10" s="4">
        <v>163.30000000000001</v>
      </c>
      <c r="Y10" s="4">
        <v>195.3</v>
      </c>
      <c r="Z10" s="4">
        <v>169.74</v>
      </c>
      <c r="AA10" s="4">
        <v>121.9</v>
      </c>
      <c r="AB10" s="4">
        <v>200</v>
      </c>
      <c r="AC10" s="4">
        <v>170.62</v>
      </c>
      <c r="AD10" s="4">
        <v>187.94</v>
      </c>
      <c r="AE10" s="4">
        <v>178.94</v>
      </c>
    </row>
    <row r="11" spans="2:31" x14ac:dyDescent="0.3">
      <c r="B11" s="9" t="s">
        <v>69</v>
      </c>
      <c r="C11" s="4">
        <v>2287.2600000000002</v>
      </c>
      <c r="E11" s="3" t="s">
        <v>66</v>
      </c>
      <c r="F11" s="4">
        <v>2287.04</v>
      </c>
      <c r="G11" s="19">
        <f t="shared" si="1"/>
        <v>-9.619420735984271E-5</v>
      </c>
      <c r="K11" s="3" t="s">
        <v>102</v>
      </c>
      <c r="L11" s="4">
        <v>164.82</v>
      </c>
      <c r="M11" s="4">
        <v>175.6</v>
      </c>
      <c r="N11" s="12">
        <f t="shared" si="0"/>
        <v>6.5404683897585247E-2</v>
      </c>
      <c r="R11" s="9" t="s">
        <v>70</v>
      </c>
      <c r="S11" s="4">
        <v>167.34</v>
      </c>
      <c r="T11" s="4">
        <v>209.56</v>
      </c>
      <c r="U11" s="4">
        <v>180.96</v>
      </c>
      <c r="V11" s="4">
        <v>172.24</v>
      </c>
      <c r="W11" s="4">
        <v>188.66</v>
      </c>
      <c r="X11" s="4">
        <v>160.58000000000001</v>
      </c>
      <c r="Y11" s="4">
        <v>182.02</v>
      </c>
      <c r="Z11" s="4">
        <v>170.4</v>
      </c>
      <c r="AA11" s="4">
        <v>122.02</v>
      </c>
      <c r="AB11" s="4">
        <v>202.76</v>
      </c>
      <c r="AC11" s="4">
        <v>171.11999999999998</v>
      </c>
      <c r="AD11" s="4">
        <v>188.95999999999998</v>
      </c>
      <c r="AE11" s="4">
        <v>178.04</v>
      </c>
    </row>
    <row r="12" spans="2:31" x14ac:dyDescent="0.3">
      <c r="B12" s="9" t="s">
        <v>66</v>
      </c>
      <c r="C12" s="4">
        <v>2287.04</v>
      </c>
      <c r="E12" s="3" t="s">
        <v>74</v>
      </c>
      <c r="F12" s="4">
        <v>2281.3000000000002</v>
      </c>
      <c r="G12" s="19">
        <f t="shared" si="1"/>
        <v>-2.5161092359618558E-3</v>
      </c>
      <c r="K12" s="3" t="s">
        <v>103</v>
      </c>
      <c r="L12" s="4">
        <v>120.16</v>
      </c>
      <c r="M12" s="4">
        <v>122.7</v>
      </c>
      <c r="N12" s="12">
        <f t="shared" si="0"/>
        <v>2.1138482023968095E-2</v>
      </c>
      <c r="R12" s="9" t="s">
        <v>69</v>
      </c>
      <c r="S12" s="4">
        <v>169.92</v>
      </c>
      <c r="T12" s="4">
        <v>209.3</v>
      </c>
      <c r="U12" s="4">
        <v>189.1</v>
      </c>
      <c r="V12" s="4">
        <v>173.5</v>
      </c>
      <c r="W12" s="4">
        <v>188.6</v>
      </c>
      <c r="X12" s="4">
        <v>158.24</v>
      </c>
      <c r="Y12" s="4">
        <v>162.96</v>
      </c>
      <c r="Z12" s="4">
        <v>170.76</v>
      </c>
      <c r="AA12" s="4">
        <v>121.7</v>
      </c>
      <c r="AB12" s="4">
        <v>205.3</v>
      </c>
      <c r="AC12" s="4">
        <v>171.57999999999998</v>
      </c>
      <c r="AD12" s="4">
        <v>189.85999999999999</v>
      </c>
      <c r="AE12" s="4">
        <v>176.44</v>
      </c>
    </row>
    <row r="13" spans="2:31" x14ac:dyDescent="0.3">
      <c r="B13" s="9" t="s">
        <v>74</v>
      </c>
      <c r="C13" s="4">
        <v>2281.3000000000002</v>
      </c>
      <c r="E13" s="3" t="s">
        <v>73</v>
      </c>
      <c r="F13" s="4">
        <v>2280.3399999999997</v>
      </c>
      <c r="G13" s="19">
        <f t="shared" si="1"/>
        <v>-4.2098985239064844E-4</v>
      </c>
      <c r="K13" s="3" t="s">
        <v>104</v>
      </c>
      <c r="L13" s="4">
        <v>190.16000000000003</v>
      </c>
      <c r="M13" s="4">
        <v>218</v>
      </c>
      <c r="N13" s="12">
        <f t="shared" si="0"/>
        <v>0.14640302902818664</v>
      </c>
      <c r="R13" s="9" t="s">
        <v>66</v>
      </c>
      <c r="S13" s="4">
        <v>172.9</v>
      </c>
      <c r="T13" s="4">
        <v>209.68</v>
      </c>
      <c r="U13" s="4">
        <v>189.7</v>
      </c>
      <c r="V13" s="4">
        <v>174.94</v>
      </c>
      <c r="W13" s="4">
        <v>185.94</v>
      </c>
      <c r="X13" s="4">
        <v>160.06</v>
      </c>
      <c r="Y13" s="4">
        <v>154.58000000000001</v>
      </c>
      <c r="Z13" s="4">
        <v>170.8</v>
      </c>
      <c r="AA13" s="4">
        <v>121</v>
      </c>
      <c r="AB13" s="4">
        <v>208.1</v>
      </c>
      <c r="AC13" s="4">
        <v>172.12</v>
      </c>
      <c r="AD13" s="4">
        <v>190.83999999999997</v>
      </c>
      <c r="AE13" s="4">
        <v>176.37999999999997</v>
      </c>
    </row>
    <row r="14" spans="2:31" x14ac:dyDescent="0.3">
      <c r="B14" s="9" t="s">
        <v>73</v>
      </c>
      <c r="C14" s="4">
        <v>2280.3399999999997</v>
      </c>
      <c r="E14" s="3" t="s">
        <v>75</v>
      </c>
      <c r="F14" s="4">
        <v>2290.2800000000007</v>
      </c>
      <c r="G14" s="19">
        <f t="shared" si="1"/>
        <v>4.3400806888244936E-3</v>
      </c>
      <c r="K14" s="3" t="s">
        <v>105</v>
      </c>
      <c r="L14" s="4">
        <v>169.08</v>
      </c>
      <c r="M14" s="4">
        <v>173.4</v>
      </c>
      <c r="N14" s="12">
        <f t="shared" si="0"/>
        <v>2.5550035486160354E-2</v>
      </c>
      <c r="R14" s="9" t="s">
        <v>74</v>
      </c>
      <c r="S14" s="4">
        <v>174.28</v>
      </c>
      <c r="T14" s="4">
        <v>208.2</v>
      </c>
      <c r="U14" s="4">
        <v>178.94</v>
      </c>
      <c r="V14" s="4">
        <v>176.76</v>
      </c>
      <c r="W14" s="4">
        <v>181.08</v>
      </c>
      <c r="X14" s="4">
        <v>166.86</v>
      </c>
      <c r="Y14" s="4">
        <v>152.84</v>
      </c>
      <c r="Z14" s="4">
        <v>171</v>
      </c>
      <c r="AA14" s="4">
        <v>120.24</v>
      </c>
      <c r="AB14" s="4">
        <v>209.42</v>
      </c>
      <c r="AC14" s="4">
        <v>172.76000000000002</v>
      </c>
      <c r="AD14" s="4">
        <v>192.12</v>
      </c>
      <c r="AE14" s="4">
        <v>176.8</v>
      </c>
    </row>
    <row r="15" spans="2:31" x14ac:dyDescent="0.3">
      <c r="B15" s="9" t="s">
        <v>75</v>
      </c>
      <c r="C15" s="4">
        <v>2290.2800000000007</v>
      </c>
      <c r="E15" s="3" t="s">
        <v>72</v>
      </c>
      <c r="F15" s="4">
        <v>2305.5749999999998</v>
      </c>
      <c r="G15" s="19">
        <f t="shared" si="1"/>
        <v>6.6339199548915845E-3</v>
      </c>
      <c r="K15" s="3" t="s">
        <v>106</v>
      </c>
      <c r="L15" s="4">
        <v>184.78000000000003</v>
      </c>
      <c r="M15" s="4">
        <v>194.2</v>
      </c>
      <c r="N15" s="12">
        <f t="shared" si="0"/>
        <v>5.0979543240610228E-2</v>
      </c>
      <c r="R15" s="9" t="s">
        <v>73</v>
      </c>
      <c r="S15" s="4">
        <v>174.22</v>
      </c>
      <c r="T15" s="4">
        <v>207.94</v>
      </c>
      <c r="U15" s="4">
        <v>173.88</v>
      </c>
      <c r="V15" s="4">
        <v>177.54</v>
      </c>
      <c r="W15" s="4">
        <v>178.5</v>
      </c>
      <c r="X15" s="4">
        <v>170.4</v>
      </c>
      <c r="Y15" s="4">
        <v>153.02000000000001</v>
      </c>
      <c r="Z15" s="4">
        <v>171.52</v>
      </c>
      <c r="AA15" s="4">
        <v>120.28</v>
      </c>
      <c r="AB15" s="4">
        <v>210.35999999999999</v>
      </c>
      <c r="AC15" s="4">
        <v>173.06</v>
      </c>
      <c r="AD15" s="4">
        <v>192.6</v>
      </c>
      <c r="AE15" s="4">
        <v>177.02</v>
      </c>
    </row>
    <row r="16" spans="2:31" x14ac:dyDescent="0.3">
      <c r="B16" s="9" t="s">
        <v>72</v>
      </c>
      <c r="C16" s="4">
        <v>2305.5750000000003</v>
      </c>
      <c r="E16" s="3" t="s">
        <v>76</v>
      </c>
      <c r="F16" s="4">
        <v>2306.9</v>
      </c>
      <c r="G16" s="19">
        <f t="shared" si="1"/>
        <v>5.7436386492707651E-4</v>
      </c>
      <c r="K16" s="3" t="s">
        <v>107</v>
      </c>
      <c r="L16" s="4">
        <v>175.14</v>
      </c>
      <c r="M16" s="4">
        <v>179.1</v>
      </c>
      <c r="N16" s="12">
        <f t="shared" si="0"/>
        <v>2.2610483042137766E-2</v>
      </c>
      <c r="R16" s="9" t="s">
        <v>75</v>
      </c>
      <c r="S16" s="4">
        <v>173.9</v>
      </c>
      <c r="T16" s="4">
        <v>209.82</v>
      </c>
      <c r="U16" s="4">
        <v>171.22</v>
      </c>
      <c r="V16" s="4">
        <v>178.46</v>
      </c>
      <c r="W16" s="4">
        <v>174.92</v>
      </c>
      <c r="X16" s="4">
        <v>173.54</v>
      </c>
      <c r="Y16" s="4">
        <v>155.91999999999999</v>
      </c>
      <c r="Z16" s="4">
        <v>173.38</v>
      </c>
      <c r="AA16" s="4">
        <v>121.34</v>
      </c>
      <c r="AB16" s="4">
        <v>213.38000000000002</v>
      </c>
      <c r="AC16" s="4">
        <v>173.51999999999998</v>
      </c>
      <c r="AD16" s="4">
        <v>193.02</v>
      </c>
      <c r="AE16" s="4">
        <v>177.85999999999999</v>
      </c>
    </row>
    <row r="17" spans="2:31" x14ac:dyDescent="0.3">
      <c r="B17" s="9" t="s">
        <v>76</v>
      </c>
      <c r="C17" s="4">
        <v>2306.9</v>
      </c>
      <c r="E17" s="5" t="s">
        <v>57</v>
      </c>
      <c r="F17" s="6">
        <v>27445.835000000003</v>
      </c>
      <c r="G17" s="20">
        <f>AVERAGE(G5:G16)</f>
        <v>1.6801366155011826E-3</v>
      </c>
      <c r="R17" s="9" t="s">
        <v>72</v>
      </c>
      <c r="S17" s="4">
        <v>173.85</v>
      </c>
      <c r="T17" s="4">
        <v>213.625</v>
      </c>
      <c r="U17" s="4">
        <v>172.625</v>
      </c>
      <c r="V17" s="4">
        <v>179.22499999999999</v>
      </c>
      <c r="W17" s="4">
        <v>170.65</v>
      </c>
      <c r="X17" s="4">
        <v>173.32499999999999</v>
      </c>
      <c r="Y17" s="4">
        <v>162.52500000000001</v>
      </c>
      <c r="Z17" s="4">
        <v>175.2</v>
      </c>
      <c r="AA17" s="4">
        <v>122.52500000000001</v>
      </c>
      <c r="AB17" s="4">
        <v>215.95</v>
      </c>
      <c r="AC17" s="4">
        <v>172.72499999999999</v>
      </c>
      <c r="AD17" s="4">
        <v>194.125</v>
      </c>
      <c r="AE17" s="4">
        <v>179.22500000000002</v>
      </c>
    </row>
    <row r="18" spans="2:31" x14ac:dyDescent="0.3">
      <c r="B18" s="9" t="s">
        <v>57</v>
      </c>
      <c r="C18" s="4">
        <v>27445.835000000003</v>
      </c>
      <c r="R18" s="9" t="s">
        <v>76</v>
      </c>
      <c r="S18" s="4">
        <v>173.7</v>
      </c>
      <c r="T18" s="4">
        <v>214.3</v>
      </c>
      <c r="U18" s="4">
        <v>173.2</v>
      </c>
      <c r="V18" s="4">
        <v>179.5</v>
      </c>
      <c r="W18" s="4">
        <v>170</v>
      </c>
      <c r="X18" s="4">
        <v>172.2</v>
      </c>
      <c r="Y18" s="4">
        <v>161</v>
      </c>
      <c r="Z18" s="4">
        <v>175.6</v>
      </c>
      <c r="AA18" s="4">
        <v>122.7</v>
      </c>
      <c r="AB18" s="4">
        <v>218</v>
      </c>
      <c r="AC18" s="4">
        <v>173.4</v>
      </c>
      <c r="AD18" s="4">
        <v>194.2</v>
      </c>
      <c r="AE18" s="4">
        <v>179.1</v>
      </c>
    </row>
    <row r="19" spans="2:31" x14ac:dyDescent="0.3">
      <c r="R19" s="9" t="s">
        <v>57</v>
      </c>
      <c r="S19" s="4">
        <v>2026.0700000000002</v>
      </c>
      <c r="T19" s="4">
        <v>2522.7250000000004</v>
      </c>
      <c r="U19" s="4">
        <v>2115.5450000000001</v>
      </c>
      <c r="V19" s="4">
        <v>2087.625</v>
      </c>
      <c r="W19" s="4">
        <v>2204.21</v>
      </c>
      <c r="X19" s="4">
        <v>2008.9250000000002</v>
      </c>
      <c r="Y19" s="4">
        <v>2041.665</v>
      </c>
      <c r="Z19" s="4">
        <v>2049.04</v>
      </c>
      <c r="AA19" s="4">
        <v>1456.1850000000002</v>
      </c>
      <c r="AB19" s="4">
        <v>2464.0699999999997</v>
      </c>
      <c r="AC19" s="4">
        <v>2059.6649999999995</v>
      </c>
      <c r="AD19" s="4">
        <v>2281.1849999999995</v>
      </c>
      <c r="AE19" s="4">
        <v>2128.9249999999997</v>
      </c>
    </row>
    <row r="23" spans="2:31" x14ac:dyDescent="0.3">
      <c r="Q23" s="2"/>
      <c r="R23" s="2"/>
      <c r="S23" s="2"/>
      <c r="T23" s="2"/>
      <c r="U23" s="2"/>
      <c r="V23" s="2"/>
      <c r="W23" s="2"/>
      <c r="X23" s="2"/>
    </row>
    <row r="24" spans="2:31" x14ac:dyDescent="0.3">
      <c r="Q24" s="1"/>
      <c r="R24" s="1"/>
      <c r="S24" s="1"/>
      <c r="T24" s="1"/>
      <c r="U24" s="1"/>
      <c r="V24" s="1"/>
      <c r="W24" s="1"/>
      <c r="X24" s="1"/>
    </row>
    <row r="25" spans="2:31" x14ac:dyDescent="0.3">
      <c r="Q25" s="1"/>
      <c r="R25" s="1"/>
      <c r="S25" s="1"/>
      <c r="T25" s="1"/>
      <c r="U25" s="1"/>
      <c r="V25" s="1"/>
      <c r="W25" s="1"/>
      <c r="X25" s="1"/>
    </row>
    <row r="26" spans="2:31" x14ac:dyDescent="0.3">
      <c r="Q26" s="1"/>
      <c r="R26" s="1"/>
      <c r="S26" s="1"/>
      <c r="T26" s="1"/>
      <c r="U26" s="1"/>
      <c r="V26" s="1"/>
      <c r="W26" s="1"/>
      <c r="X26" s="1"/>
    </row>
    <row r="27" spans="2:31" x14ac:dyDescent="0.3">
      <c r="Q27" s="1"/>
      <c r="R27" s="1"/>
      <c r="S27" s="1"/>
      <c r="T27" s="1"/>
      <c r="U27" s="1"/>
      <c r="V27" s="1"/>
      <c r="W27" s="1"/>
      <c r="X27" s="1"/>
    </row>
    <row r="28" spans="2:31" x14ac:dyDescent="0.3">
      <c r="Q28" s="1"/>
      <c r="R28" s="1"/>
      <c r="S28" s="1"/>
      <c r="T28" s="1"/>
      <c r="U28" s="1"/>
      <c r="V28" s="1"/>
      <c r="W28" s="1"/>
      <c r="X28" s="1"/>
    </row>
    <row r="29" spans="2:31" x14ac:dyDescent="0.3">
      <c r="Q29" s="1"/>
      <c r="R29" s="1"/>
      <c r="S29" s="1"/>
      <c r="T29" s="1"/>
      <c r="U29" s="1"/>
      <c r="V29" s="1"/>
      <c r="W29" s="1"/>
      <c r="X29" s="1"/>
    </row>
    <row r="30" spans="2:31" x14ac:dyDescent="0.3">
      <c r="Q30" s="1"/>
      <c r="R30" s="1"/>
      <c r="S30" s="1"/>
      <c r="T30" s="1"/>
      <c r="U30" s="1"/>
      <c r="V30" s="1"/>
      <c r="W30" s="1"/>
      <c r="X30" s="1"/>
    </row>
    <row r="31" spans="2:31" x14ac:dyDescent="0.3">
      <c r="Q31" s="1"/>
      <c r="R31" s="1"/>
      <c r="S31" s="1"/>
      <c r="T31" s="1"/>
      <c r="U31" s="1"/>
      <c r="V31" s="1"/>
      <c r="W31" s="1"/>
      <c r="X31" s="1"/>
    </row>
    <row r="32" spans="2:31" x14ac:dyDescent="0.3">
      <c r="Q32" s="1"/>
      <c r="R32" s="1"/>
      <c r="S32" s="1"/>
      <c r="T32" s="1"/>
      <c r="U32" s="1"/>
      <c r="V32" s="1"/>
      <c r="W32" s="1"/>
      <c r="X32" s="1"/>
    </row>
    <row r="33" spans="5:24" x14ac:dyDescent="0.3">
      <c r="Q33" s="1"/>
      <c r="R33" s="1"/>
      <c r="S33" s="1"/>
      <c r="T33" s="1"/>
      <c r="U33" s="1"/>
      <c r="V33" s="1"/>
      <c r="W33" s="1"/>
      <c r="X33" s="1"/>
    </row>
    <row r="34" spans="5:24" x14ac:dyDescent="0.3">
      <c r="Q34" s="1"/>
      <c r="R34" s="1"/>
      <c r="S34" s="1"/>
      <c r="T34" s="1"/>
      <c r="U34" s="1"/>
      <c r="V34" s="1"/>
      <c r="W34" s="1"/>
      <c r="X34" s="1"/>
    </row>
    <row r="35" spans="5:24" x14ac:dyDescent="0.3">
      <c r="Q35" s="1"/>
      <c r="R35" s="1"/>
      <c r="S35" s="1"/>
      <c r="T35" s="1"/>
      <c r="U35" s="1"/>
      <c r="V35" s="1"/>
      <c r="W35" s="1"/>
      <c r="X35" s="1"/>
    </row>
    <row r="36" spans="5:24" x14ac:dyDescent="0.3">
      <c r="Q36" s="1"/>
      <c r="R36" s="1"/>
      <c r="S36" s="1"/>
      <c r="T36" s="1"/>
      <c r="U36" s="1"/>
      <c r="V36" s="1"/>
      <c r="W36" s="1"/>
      <c r="X36" s="1"/>
    </row>
    <row r="37" spans="5:24" x14ac:dyDescent="0.3">
      <c r="E37" s="51" t="s">
        <v>109</v>
      </c>
      <c r="F37" s="52"/>
      <c r="G37" s="52"/>
      <c r="H37" s="52"/>
      <c r="K37" s="53" t="s">
        <v>110</v>
      </c>
      <c r="L37" s="53"/>
      <c r="M37" s="53"/>
      <c r="N37" s="53"/>
    </row>
    <row r="38" spans="5:24" x14ac:dyDescent="0.3">
      <c r="E38" s="52"/>
      <c r="F38" s="52"/>
      <c r="G38" s="52"/>
      <c r="H38" s="52"/>
      <c r="K38" s="53"/>
      <c r="L38" s="53"/>
      <c r="M38" s="53"/>
      <c r="N38" s="53"/>
    </row>
    <row r="39" spans="5:24" x14ac:dyDescent="0.3">
      <c r="E39" s="52"/>
      <c r="F39" s="52"/>
      <c r="G39" s="52"/>
      <c r="H39" s="52"/>
      <c r="K39" s="53"/>
      <c r="L39" s="53"/>
      <c r="M39" s="53"/>
      <c r="N39" s="53"/>
    </row>
    <row r="40" spans="5:24" x14ac:dyDescent="0.3">
      <c r="E40" s="52"/>
      <c r="F40" s="52"/>
      <c r="G40" s="52"/>
      <c r="H40" s="52"/>
      <c r="K40" s="53"/>
      <c r="L40" s="53"/>
      <c r="M40" s="53"/>
      <c r="N40" s="53"/>
    </row>
  </sheetData>
  <mergeCells count="4">
    <mergeCell ref="K2:N2"/>
    <mergeCell ref="E37:H40"/>
    <mergeCell ref="K37:N40"/>
    <mergeCell ref="E3:G3"/>
  </mergeCells>
  <conditionalFormatting sqref="G5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85FB-510D-422A-8D04-D7EEEDC83132}">
  <dimension ref="C3:P40"/>
  <sheetViews>
    <sheetView topLeftCell="A23" workbookViewId="0">
      <selection activeCell="J43" sqref="J43"/>
    </sheetView>
  </sheetViews>
  <sheetFormatPr defaultRowHeight="14.4" x14ac:dyDescent="0.3"/>
  <cols>
    <col min="3" max="3" width="12.33203125" style="2" customWidth="1"/>
    <col min="4" max="4" width="24.6640625" style="23" bestFit="1" customWidth="1"/>
    <col min="5" max="5" width="28.33203125" bestFit="1" customWidth="1"/>
    <col min="6" max="6" width="12" bestFit="1" customWidth="1"/>
    <col min="7" max="7" width="12" style="1" bestFit="1" customWidth="1"/>
    <col min="8" max="8" width="11.6640625" bestFit="1" customWidth="1"/>
    <col min="11" max="11" width="9.77734375" customWidth="1"/>
    <col min="12" max="13" width="28.33203125" bestFit="1" customWidth="1"/>
    <col min="14" max="14" width="12" bestFit="1" customWidth="1"/>
    <col min="15" max="15" width="10.33203125" style="1" bestFit="1" customWidth="1"/>
    <col min="16" max="16" width="16.33203125" bestFit="1" customWidth="1"/>
  </cols>
  <sheetData>
    <row r="3" spans="4:16" ht="15.6" x14ac:dyDescent="0.3">
      <c r="D3" s="57" t="s">
        <v>113</v>
      </c>
      <c r="E3" s="57"/>
      <c r="F3" s="57"/>
      <c r="G3" s="57"/>
      <c r="H3" s="57"/>
      <c r="L3" s="54" t="s">
        <v>114</v>
      </c>
      <c r="M3" s="55"/>
      <c r="N3" s="55"/>
      <c r="O3" s="55"/>
      <c r="P3" s="56"/>
    </row>
    <row r="4" spans="4:16" x14ac:dyDescent="0.3">
      <c r="O4"/>
      <c r="P4" s="1"/>
    </row>
    <row r="5" spans="4:16" x14ac:dyDescent="0.3">
      <c r="D5" s="25" t="s">
        <v>111</v>
      </c>
      <c r="E5" s="26" t="s">
        <v>47</v>
      </c>
      <c r="F5" s="27">
        <v>43525</v>
      </c>
      <c r="G5" s="27">
        <v>43891</v>
      </c>
      <c r="H5" s="6" t="s">
        <v>112</v>
      </c>
      <c r="L5" s="25" t="s">
        <v>111</v>
      </c>
      <c r="M5" s="26" t="s">
        <v>47</v>
      </c>
      <c r="N5" s="27">
        <v>43891</v>
      </c>
      <c r="O5" s="27">
        <v>44256</v>
      </c>
      <c r="P5" s="6" t="s">
        <v>112</v>
      </c>
    </row>
    <row r="6" spans="4:16" x14ac:dyDescent="0.3">
      <c r="D6" s="28" t="s">
        <v>50</v>
      </c>
      <c r="E6" s="9" t="s">
        <v>17</v>
      </c>
      <c r="F6" s="4">
        <v>141.02000000000001</v>
      </c>
      <c r="G6" s="4">
        <v>141.9</v>
      </c>
      <c r="H6" s="12">
        <f t="shared" ref="H6:H31" si="0">(G6-F6)/F6</f>
        <v>6.2402496099843666E-3</v>
      </c>
      <c r="L6" s="29" t="s">
        <v>49</v>
      </c>
      <c r="M6" s="9" t="s">
        <v>9</v>
      </c>
      <c r="N6" s="4">
        <v>167.15</v>
      </c>
      <c r="O6" s="4">
        <v>145.74</v>
      </c>
      <c r="P6" s="12">
        <f t="shared" ref="P6:P31" si="1">(O6-N6)/N6</f>
        <v>-0.12808854322464849</v>
      </c>
    </row>
    <row r="7" spans="4:16" x14ac:dyDescent="0.3">
      <c r="D7" s="28" t="s">
        <v>52</v>
      </c>
      <c r="E7" s="9" t="s">
        <v>21</v>
      </c>
      <c r="F7" s="4">
        <v>144.76000000000002</v>
      </c>
      <c r="G7" s="4">
        <v>146.4</v>
      </c>
      <c r="H7" s="12">
        <f t="shared" si="0"/>
        <v>1.1329096435479318E-2</v>
      </c>
      <c r="L7" s="29" t="s">
        <v>49</v>
      </c>
      <c r="M7" s="9" t="s">
        <v>11</v>
      </c>
      <c r="N7" s="4">
        <v>118.625</v>
      </c>
      <c r="O7" s="4">
        <v>113.4</v>
      </c>
      <c r="P7" s="12">
        <f t="shared" si="1"/>
        <v>-4.4046364594309752E-2</v>
      </c>
    </row>
    <row r="8" spans="4:16" x14ac:dyDescent="0.3">
      <c r="D8" s="28" t="s">
        <v>50</v>
      </c>
      <c r="E8" s="9" t="s">
        <v>18</v>
      </c>
      <c r="F8" s="4">
        <v>147.51999999999998</v>
      </c>
      <c r="G8" s="4">
        <v>149.80000000000001</v>
      </c>
      <c r="H8" s="12">
        <f t="shared" si="0"/>
        <v>1.5455531453362458E-2</v>
      </c>
      <c r="L8" s="29" t="s">
        <v>49</v>
      </c>
      <c r="M8" s="9" t="s">
        <v>3</v>
      </c>
      <c r="N8" s="4">
        <v>148.19999999999999</v>
      </c>
      <c r="O8" s="4">
        <v>144.76</v>
      </c>
      <c r="P8" s="12">
        <f t="shared" si="1"/>
        <v>-2.3211875843454778E-2</v>
      </c>
    </row>
    <row r="9" spans="4:16" x14ac:dyDescent="0.3">
      <c r="D9" s="28" t="s">
        <v>49</v>
      </c>
      <c r="E9" s="9" t="s">
        <v>13</v>
      </c>
      <c r="F9" s="4">
        <v>134.45999999999998</v>
      </c>
      <c r="G9" s="4">
        <v>136.55000000000001</v>
      </c>
      <c r="H9" s="12">
        <f t="shared" si="0"/>
        <v>1.5543656105905341E-2</v>
      </c>
      <c r="L9" s="29" t="s">
        <v>49</v>
      </c>
      <c r="M9" s="9" t="s">
        <v>6</v>
      </c>
      <c r="N9" s="4">
        <v>154.55000000000001</v>
      </c>
      <c r="O9" s="4">
        <v>155.41999999999999</v>
      </c>
      <c r="P9" s="12">
        <f t="shared" si="1"/>
        <v>5.6292461986410611E-3</v>
      </c>
    </row>
    <row r="10" spans="4:16" x14ac:dyDescent="0.3">
      <c r="D10" s="28" t="s">
        <v>50</v>
      </c>
      <c r="E10" s="9" t="s">
        <v>16</v>
      </c>
      <c r="F10" s="4">
        <v>148.6</v>
      </c>
      <c r="G10" s="4">
        <v>151.19999999999999</v>
      </c>
      <c r="H10" s="12">
        <f t="shared" si="0"/>
        <v>1.7496635262449493E-2</v>
      </c>
      <c r="L10" s="24" t="s">
        <v>19</v>
      </c>
      <c r="M10" s="9" t="s">
        <v>19</v>
      </c>
      <c r="N10" s="4">
        <v>155.23333333333335</v>
      </c>
      <c r="O10" s="4">
        <v>160.9</v>
      </c>
      <c r="P10" s="12">
        <f t="shared" si="1"/>
        <v>3.6504187245007452E-2</v>
      </c>
    </row>
    <row r="11" spans="4:16" x14ac:dyDescent="0.3">
      <c r="D11" s="28" t="s">
        <v>52</v>
      </c>
      <c r="E11" s="9" t="s">
        <v>25</v>
      </c>
      <c r="F11" s="4">
        <v>152.85999999999999</v>
      </c>
      <c r="G11" s="4">
        <v>156.1</v>
      </c>
      <c r="H11" s="12">
        <f t="shared" si="0"/>
        <v>2.1195865497841224E-2</v>
      </c>
      <c r="L11" s="29" t="s">
        <v>52</v>
      </c>
      <c r="M11" s="9" t="s">
        <v>25</v>
      </c>
      <c r="N11" s="4">
        <v>156.1</v>
      </c>
      <c r="O11" s="4">
        <v>161.96</v>
      </c>
      <c r="P11" s="12">
        <f t="shared" si="1"/>
        <v>3.7540038436899514E-2</v>
      </c>
    </row>
    <row r="12" spans="4:16" x14ac:dyDescent="0.3">
      <c r="D12" s="28" t="s">
        <v>52</v>
      </c>
      <c r="E12" s="9" t="s">
        <v>24</v>
      </c>
      <c r="F12" s="4">
        <v>140.63999999999999</v>
      </c>
      <c r="G12" s="4">
        <v>143.69999999999999</v>
      </c>
      <c r="H12" s="12">
        <f t="shared" si="0"/>
        <v>2.175767918088739E-2</v>
      </c>
      <c r="L12" s="29" t="s">
        <v>52</v>
      </c>
      <c r="M12" s="9" t="s">
        <v>21</v>
      </c>
      <c r="N12" s="4">
        <v>146.4</v>
      </c>
      <c r="O12" s="4">
        <v>152.97999999999996</v>
      </c>
      <c r="P12" s="12">
        <f t="shared" si="1"/>
        <v>4.4945355191256524E-2</v>
      </c>
    </row>
    <row r="13" spans="4:16" x14ac:dyDescent="0.3">
      <c r="D13" s="28" t="s">
        <v>52</v>
      </c>
      <c r="E13" s="9" t="s">
        <v>22</v>
      </c>
      <c r="F13" s="4">
        <v>147.18</v>
      </c>
      <c r="G13" s="4">
        <v>150.52500000000001</v>
      </c>
      <c r="H13" s="12">
        <f t="shared" si="0"/>
        <v>2.2727272727272717E-2</v>
      </c>
      <c r="L13" s="29" t="s">
        <v>49</v>
      </c>
      <c r="M13" s="9" t="s">
        <v>14</v>
      </c>
      <c r="N13" s="4">
        <v>150.97499999999999</v>
      </c>
      <c r="O13" s="4">
        <v>158.19999999999999</v>
      </c>
      <c r="P13" s="12">
        <f t="shared" si="1"/>
        <v>4.7855605232654377E-2</v>
      </c>
    </row>
    <row r="14" spans="4:16" x14ac:dyDescent="0.3">
      <c r="D14" s="28" t="s">
        <v>49</v>
      </c>
      <c r="E14" s="9" t="s">
        <v>44</v>
      </c>
      <c r="F14" s="4">
        <v>155.64000000000001</v>
      </c>
      <c r="G14" s="4">
        <v>159.6</v>
      </c>
      <c r="H14" s="12">
        <f t="shared" si="0"/>
        <v>2.5443330763299788E-2</v>
      </c>
      <c r="L14" s="29" t="s">
        <v>50</v>
      </c>
      <c r="M14" s="9" t="s">
        <v>16</v>
      </c>
      <c r="N14" s="4">
        <v>151.19999999999999</v>
      </c>
      <c r="O14" s="4">
        <v>159.69999999999999</v>
      </c>
      <c r="P14" s="12">
        <f t="shared" si="1"/>
        <v>5.6216931216931221E-2</v>
      </c>
    </row>
    <row r="15" spans="4:16" x14ac:dyDescent="0.3">
      <c r="D15" s="30" t="s">
        <v>20</v>
      </c>
      <c r="E15" s="9" t="s">
        <v>20</v>
      </c>
      <c r="F15" s="4">
        <v>140.82</v>
      </c>
      <c r="G15" s="4">
        <v>144.625</v>
      </c>
      <c r="H15" s="12">
        <f t="shared" si="0"/>
        <v>2.7020309615111541E-2</v>
      </c>
      <c r="L15" s="29" t="s">
        <v>50</v>
      </c>
      <c r="M15" s="9" t="s">
        <v>18</v>
      </c>
      <c r="N15" s="4">
        <v>149.80000000000001</v>
      </c>
      <c r="O15" s="4">
        <v>158.30000000000001</v>
      </c>
      <c r="P15" s="12">
        <f t="shared" si="1"/>
        <v>5.6742323097463278E-2</v>
      </c>
    </row>
    <row r="16" spans="4:16" x14ac:dyDescent="0.3">
      <c r="D16" s="28" t="s">
        <v>49</v>
      </c>
      <c r="E16" s="9" t="s">
        <v>8</v>
      </c>
      <c r="F16" s="4">
        <v>144.16</v>
      </c>
      <c r="G16" s="4">
        <v>148.15</v>
      </c>
      <c r="H16" s="12">
        <f t="shared" si="0"/>
        <v>2.7677580466148786E-2</v>
      </c>
      <c r="L16" s="29" t="s">
        <v>49</v>
      </c>
      <c r="M16" s="9" t="s">
        <v>12</v>
      </c>
      <c r="N16" s="4">
        <v>155.75</v>
      </c>
      <c r="O16" s="4">
        <v>164.85999999999999</v>
      </c>
      <c r="P16" s="12">
        <f t="shared" si="1"/>
        <v>5.8491171749598621E-2</v>
      </c>
    </row>
    <row r="17" spans="4:16" x14ac:dyDescent="0.3">
      <c r="D17" s="28" t="s">
        <v>52</v>
      </c>
      <c r="E17" s="9" t="s">
        <v>23</v>
      </c>
      <c r="F17" s="4">
        <v>126</v>
      </c>
      <c r="G17" s="4">
        <v>129.9</v>
      </c>
      <c r="H17" s="12">
        <f t="shared" si="0"/>
        <v>3.0952380952380999E-2</v>
      </c>
      <c r="L17" s="29" t="s">
        <v>49</v>
      </c>
      <c r="M17" s="9" t="s">
        <v>44</v>
      </c>
      <c r="N17" s="4">
        <v>159.6</v>
      </c>
      <c r="O17" s="4">
        <v>169.01999999999998</v>
      </c>
      <c r="P17" s="12">
        <f t="shared" si="1"/>
        <v>5.9022556390977365E-2</v>
      </c>
    </row>
    <row r="18" spans="4:16" x14ac:dyDescent="0.3">
      <c r="D18" s="28" t="s">
        <v>52</v>
      </c>
      <c r="E18" s="9" t="s">
        <v>26</v>
      </c>
      <c r="F18" s="4">
        <v>139.08000000000001</v>
      </c>
      <c r="G18" s="4">
        <v>143.80000000000001</v>
      </c>
      <c r="H18" s="12">
        <f t="shared" si="0"/>
        <v>3.3937302272073616E-2</v>
      </c>
      <c r="L18" s="29" t="s">
        <v>50</v>
      </c>
      <c r="M18" s="9" t="s">
        <v>17</v>
      </c>
      <c r="N18" s="4">
        <v>141.9</v>
      </c>
      <c r="O18" s="4">
        <v>150.28</v>
      </c>
      <c r="P18" s="12">
        <f t="shared" si="1"/>
        <v>5.9055673009161348E-2</v>
      </c>
    </row>
    <row r="19" spans="4:16" x14ac:dyDescent="0.3">
      <c r="D19" s="24" t="s">
        <v>19</v>
      </c>
      <c r="E19" s="9" t="s">
        <v>19</v>
      </c>
      <c r="F19" s="4">
        <v>149.73333333333335</v>
      </c>
      <c r="G19" s="4">
        <v>155.23333333333335</v>
      </c>
      <c r="H19" s="12">
        <f t="shared" si="0"/>
        <v>3.6731967943009793E-2</v>
      </c>
      <c r="L19" s="29" t="s">
        <v>52</v>
      </c>
      <c r="M19" s="9" t="s">
        <v>45</v>
      </c>
      <c r="N19" s="4">
        <v>145.19999999999999</v>
      </c>
      <c r="O19" s="4">
        <v>155.94</v>
      </c>
      <c r="P19" s="12">
        <f t="shared" si="1"/>
        <v>7.3966942148760401E-2</v>
      </c>
    </row>
    <row r="20" spans="4:16" x14ac:dyDescent="0.3">
      <c r="D20" s="30" t="s">
        <v>15</v>
      </c>
      <c r="E20" s="9" t="s">
        <v>15</v>
      </c>
      <c r="F20" s="4">
        <v>164.26</v>
      </c>
      <c r="G20" s="4">
        <v>171.2</v>
      </c>
      <c r="H20" s="12">
        <f t="shared" si="0"/>
        <v>4.2250091318641166E-2</v>
      </c>
      <c r="L20" s="29" t="s">
        <v>52</v>
      </c>
      <c r="M20" s="9" t="s">
        <v>24</v>
      </c>
      <c r="N20" s="4">
        <v>143.69999999999999</v>
      </c>
      <c r="O20" s="4">
        <v>154.69999999999999</v>
      </c>
      <c r="P20" s="12">
        <f t="shared" si="1"/>
        <v>7.6548364648573425E-2</v>
      </c>
    </row>
    <row r="21" spans="4:16" x14ac:dyDescent="0.3">
      <c r="D21" s="28" t="s">
        <v>49</v>
      </c>
      <c r="E21" s="9" t="s">
        <v>4</v>
      </c>
      <c r="F21" s="4">
        <v>158.24</v>
      </c>
      <c r="G21" s="4">
        <v>167</v>
      </c>
      <c r="H21" s="12">
        <f t="shared" si="0"/>
        <v>5.5358948432760305E-2</v>
      </c>
      <c r="L21" s="29" t="s">
        <v>52</v>
      </c>
      <c r="M21" s="9" t="s">
        <v>26</v>
      </c>
      <c r="N21" s="4">
        <v>143.80000000000001</v>
      </c>
      <c r="O21" s="4">
        <v>155.56</v>
      </c>
      <c r="P21" s="12">
        <f t="shared" si="1"/>
        <v>8.1780250347705072E-2</v>
      </c>
    </row>
    <row r="22" spans="4:16" x14ac:dyDescent="0.3">
      <c r="D22" s="28" t="s">
        <v>49</v>
      </c>
      <c r="E22" s="9" t="s">
        <v>3</v>
      </c>
      <c r="F22" s="4">
        <v>138.34</v>
      </c>
      <c r="G22" s="4">
        <v>148.19999999999999</v>
      </c>
      <c r="H22" s="12">
        <f t="shared" si="0"/>
        <v>7.1273673557900721E-2</v>
      </c>
      <c r="L22" s="24" t="s">
        <v>20</v>
      </c>
      <c r="M22" s="9" t="s">
        <v>20</v>
      </c>
      <c r="N22" s="4">
        <v>144.625</v>
      </c>
      <c r="O22" s="4">
        <v>156.74</v>
      </c>
      <c r="P22" s="12">
        <f t="shared" si="1"/>
        <v>8.3768366464995747E-2</v>
      </c>
    </row>
    <row r="23" spans="4:16" x14ac:dyDescent="0.3">
      <c r="D23" s="29" t="s">
        <v>49</v>
      </c>
      <c r="E23" s="9" t="s">
        <v>14</v>
      </c>
      <c r="F23" s="4">
        <v>140.6</v>
      </c>
      <c r="G23" s="4">
        <v>150.97499999999999</v>
      </c>
      <c r="H23" s="12">
        <f t="shared" si="0"/>
        <v>7.3790896159317221E-2</v>
      </c>
      <c r="L23" s="29" t="s">
        <v>52</v>
      </c>
      <c r="M23" s="9" t="s">
        <v>22</v>
      </c>
      <c r="N23" s="4">
        <v>150.52500000000001</v>
      </c>
      <c r="O23" s="4">
        <v>163.18</v>
      </c>
      <c r="P23" s="12">
        <f t="shared" si="1"/>
        <v>8.4072413220395284E-2</v>
      </c>
    </row>
    <row r="24" spans="4:16" x14ac:dyDescent="0.3">
      <c r="D24" s="29" t="s">
        <v>49</v>
      </c>
      <c r="E24" s="9" t="s">
        <v>11</v>
      </c>
      <c r="F24" s="4">
        <v>110</v>
      </c>
      <c r="G24" s="4">
        <v>118.625</v>
      </c>
      <c r="H24" s="12">
        <f t="shared" si="0"/>
        <v>7.8409090909090914E-2</v>
      </c>
      <c r="L24" s="29" t="s">
        <v>49</v>
      </c>
      <c r="M24" s="9" t="s">
        <v>8</v>
      </c>
      <c r="N24" s="4">
        <v>148.15</v>
      </c>
      <c r="O24" s="4">
        <v>161.96</v>
      </c>
      <c r="P24" s="12">
        <f t="shared" si="1"/>
        <v>9.3216334795815065E-2</v>
      </c>
    </row>
    <row r="25" spans="4:16" x14ac:dyDescent="0.3">
      <c r="D25" s="28" t="s">
        <v>49</v>
      </c>
      <c r="E25" s="9" t="s">
        <v>6</v>
      </c>
      <c r="F25" s="4">
        <v>142.6</v>
      </c>
      <c r="G25" s="4">
        <v>154.55000000000001</v>
      </c>
      <c r="H25" s="12">
        <f t="shared" si="0"/>
        <v>8.3800841514726637E-2</v>
      </c>
      <c r="L25" s="29" t="s">
        <v>49</v>
      </c>
      <c r="M25" s="9" t="s">
        <v>10</v>
      </c>
      <c r="N25" s="4">
        <v>148.125</v>
      </c>
      <c r="O25" s="4">
        <v>162.1</v>
      </c>
      <c r="P25" s="12">
        <f t="shared" si="1"/>
        <v>9.4345991561181397E-2</v>
      </c>
    </row>
    <row r="26" spans="4:16" x14ac:dyDescent="0.3">
      <c r="D26" s="28" t="s">
        <v>49</v>
      </c>
      <c r="E26" s="9" t="s">
        <v>5</v>
      </c>
      <c r="F26" s="4">
        <v>137.06</v>
      </c>
      <c r="G26" s="4">
        <v>148.92500000000001</v>
      </c>
      <c r="H26" s="12">
        <f t="shared" si="0"/>
        <v>8.6567926455566976E-2</v>
      </c>
      <c r="L26" s="24" t="s">
        <v>15</v>
      </c>
      <c r="M26" s="9" t="s">
        <v>15</v>
      </c>
      <c r="N26" s="4">
        <v>171.2</v>
      </c>
      <c r="O26" s="4">
        <v>189.54</v>
      </c>
      <c r="P26" s="12">
        <f t="shared" si="1"/>
        <v>0.10712616822429909</v>
      </c>
    </row>
    <row r="27" spans="4:16" x14ac:dyDescent="0.3">
      <c r="D27" s="28" t="s">
        <v>52</v>
      </c>
      <c r="E27" s="9" t="s">
        <v>45</v>
      </c>
      <c r="F27" s="4">
        <v>133.61999999999998</v>
      </c>
      <c r="G27" s="4">
        <v>145.19999999999999</v>
      </c>
      <c r="H27" s="12">
        <f t="shared" si="0"/>
        <v>8.6663673102829034E-2</v>
      </c>
      <c r="L27" s="29" t="s">
        <v>49</v>
      </c>
      <c r="M27" s="9" t="s">
        <v>5</v>
      </c>
      <c r="N27" s="4">
        <v>148.92500000000001</v>
      </c>
      <c r="O27" s="4">
        <v>165.36</v>
      </c>
      <c r="P27" s="12">
        <f t="shared" si="1"/>
        <v>0.11035756253147558</v>
      </c>
    </row>
    <row r="28" spans="4:16" x14ac:dyDescent="0.3">
      <c r="D28" s="28" t="s">
        <v>49</v>
      </c>
      <c r="E28" s="9" t="s">
        <v>7</v>
      </c>
      <c r="F28" s="4">
        <v>122.18</v>
      </c>
      <c r="G28" s="4">
        <v>133.75</v>
      </c>
      <c r="H28" s="12">
        <f t="shared" si="0"/>
        <v>9.4696349648060174E-2</v>
      </c>
      <c r="L28" s="29" t="s">
        <v>52</v>
      </c>
      <c r="M28" s="9" t="s">
        <v>23</v>
      </c>
      <c r="N28" s="4">
        <v>129.9</v>
      </c>
      <c r="O28" s="4">
        <v>147.95999999999998</v>
      </c>
      <c r="P28" s="12">
        <f t="shared" si="1"/>
        <v>0.13903002309468801</v>
      </c>
    </row>
    <row r="29" spans="4:16" x14ac:dyDescent="0.3">
      <c r="D29" s="28" t="s">
        <v>49</v>
      </c>
      <c r="E29" s="9" t="s">
        <v>12</v>
      </c>
      <c r="F29" s="4">
        <v>140.02000000000001</v>
      </c>
      <c r="G29" s="4">
        <v>155.75</v>
      </c>
      <c r="H29" s="12">
        <f t="shared" si="0"/>
        <v>0.11234109412941</v>
      </c>
      <c r="L29" s="29" t="s">
        <v>49</v>
      </c>
      <c r="M29" s="9" t="s">
        <v>13</v>
      </c>
      <c r="N29" s="4">
        <v>136.55000000000001</v>
      </c>
      <c r="O29" s="4">
        <v>158.42000000000002</v>
      </c>
      <c r="P29" s="12">
        <f t="shared" si="1"/>
        <v>0.16016111314536802</v>
      </c>
    </row>
    <row r="30" spans="4:16" x14ac:dyDescent="0.3">
      <c r="D30" s="28" t="s">
        <v>49</v>
      </c>
      <c r="E30" s="9" t="s">
        <v>9</v>
      </c>
      <c r="F30" s="4">
        <v>142.24</v>
      </c>
      <c r="G30" s="4">
        <v>167.15</v>
      </c>
      <c r="H30" s="12">
        <f t="shared" si="0"/>
        <v>0.17512654668166475</v>
      </c>
      <c r="L30" s="29" t="s">
        <v>49</v>
      </c>
      <c r="M30" s="9" t="s">
        <v>4</v>
      </c>
      <c r="N30" s="4">
        <v>167</v>
      </c>
      <c r="O30" s="4">
        <v>197.34</v>
      </c>
      <c r="P30" s="12">
        <f t="shared" si="1"/>
        <v>0.18167664670658684</v>
      </c>
    </row>
    <row r="31" spans="4:16" x14ac:dyDescent="0.3">
      <c r="D31" s="28" t="s">
        <v>49</v>
      </c>
      <c r="E31" s="9" t="s">
        <v>10</v>
      </c>
      <c r="F31" s="4">
        <v>124.98</v>
      </c>
      <c r="G31" s="4">
        <v>148.125</v>
      </c>
      <c r="H31" s="12">
        <f t="shared" si="0"/>
        <v>0.18518963034085451</v>
      </c>
      <c r="L31" s="29" t="s">
        <v>49</v>
      </c>
      <c r="M31" s="9" t="s">
        <v>7</v>
      </c>
      <c r="N31" s="4">
        <v>133.75</v>
      </c>
      <c r="O31" s="4">
        <v>171</v>
      </c>
      <c r="P31" s="12">
        <f t="shared" si="1"/>
        <v>0.27850467289719627</v>
      </c>
    </row>
    <row r="34" spans="4:13" ht="15.6" x14ac:dyDescent="0.3">
      <c r="D34" s="31"/>
      <c r="E34" s="31"/>
      <c r="F34" s="31"/>
      <c r="K34" s="31"/>
      <c r="L34" s="31"/>
      <c r="M34" s="31"/>
    </row>
    <row r="35" spans="4:13" x14ac:dyDescent="0.3">
      <c r="D35" s="32"/>
      <c r="E35" s="33"/>
      <c r="F35" s="21"/>
      <c r="K35" s="32"/>
      <c r="L35" s="33"/>
      <c r="M35" s="21"/>
    </row>
    <row r="36" spans="4:13" x14ac:dyDescent="0.3">
      <c r="D36" s="34"/>
      <c r="E36" s="2"/>
      <c r="F36" s="35"/>
      <c r="K36" s="34"/>
      <c r="L36" s="2"/>
      <c r="M36" s="35"/>
    </row>
    <row r="37" spans="4:13" x14ac:dyDescent="0.3">
      <c r="D37" s="34"/>
      <c r="E37" s="2"/>
      <c r="F37" s="35"/>
      <c r="K37" s="34"/>
      <c r="L37" s="2"/>
      <c r="M37" s="35"/>
    </row>
    <row r="38" spans="4:13" x14ac:dyDescent="0.3">
      <c r="D38" s="34"/>
      <c r="E38" s="2"/>
      <c r="F38" s="35"/>
      <c r="K38" s="34"/>
      <c r="L38" s="2"/>
      <c r="M38" s="35"/>
    </row>
    <row r="39" spans="4:13" x14ac:dyDescent="0.3">
      <c r="D39" s="34"/>
      <c r="E39" s="2"/>
      <c r="F39" s="35"/>
      <c r="K39" s="34"/>
      <c r="L39" s="2"/>
      <c r="M39" s="35"/>
    </row>
    <row r="40" spans="4:13" x14ac:dyDescent="0.3">
      <c r="E40" s="2"/>
      <c r="F40" s="35"/>
      <c r="K40" s="34"/>
      <c r="L40" s="2"/>
      <c r="M40" s="35"/>
    </row>
  </sheetData>
  <autoFilter ref="L5:P31" xr:uid="{C9AE85FB-510D-422A-8D04-D7EEEDC83132}">
    <sortState xmlns:xlrd2="http://schemas.microsoft.com/office/spreadsheetml/2017/richdata2" ref="L6:P31">
      <sortCondition ref="P5:P31"/>
    </sortState>
  </autoFilter>
  <mergeCells count="2">
    <mergeCell ref="L3:P3"/>
    <mergeCell ref="D3:H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C422-EDDB-4320-BE3C-2F73F3819782}">
  <dimension ref="A1:Y64"/>
  <sheetViews>
    <sheetView topLeftCell="K1" workbookViewId="0">
      <selection activeCell="N18" sqref="N18"/>
    </sheetView>
  </sheetViews>
  <sheetFormatPr defaultRowHeight="14.4" x14ac:dyDescent="0.3"/>
  <cols>
    <col min="1" max="1" width="39.88671875" bestFit="1" customWidth="1"/>
    <col min="2" max="2" width="9.33203125" bestFit="1" customWidth="1"/>
    <col min="3" max="3" width="21.5546875" bestFit="1" customWidth="1"/>
    <col min="4" max="4" width="16.44140625" bestFit="1" customWidth="1"/>
    <col min="5" max="5" width="21.5546875" bestFit="1" customWidth="1"/>
    <col min="6" max="6" width="30.44140625" bestFit="1" customWidth="1"/>
    <col min="7" max="7" width="14.77734375" bestFit="1" customWidth="1"/>
    <col min="8" max="8" width="32.33203125" bestFit="1" customWidth="1"/>
    <col min="9" max="9" width="31.5546875" bestFit="1" customWidth="1"/>
    <col min="10" max="10" width="32.33203125" bestFit="1" customWidth="1"/>
    <col min="11" max="11" width="31.5546875" bestFit="1" customWidth="1"/>
    <col min="12" max="12" width="12.88671875" bestFit="1" customWidth="1"/>
    <col min="13" max="13" width="31.88671875" customWidth="1"/>
    <col min="14" max="14" width="32.33203125" bestFit="1" customWidth="1"/>
    <col min="15" max="15" width="9.21875" bestFit="1" customWidth="1"/>
    <col min="16" max="16" width="9.33203125" bestFit="1" customWidth="1"/>
    <col min="17" max="17" width="8.6640625" bestFit="1" customWidth="1"/>
    <col min="18" max="18" width="11.33203125" bestFit="1" customWidth="1"/>
    <col min="19" max="19" width="14.77734375" bestFit="1" customWidth="1"/>
    <col min="20" max="20" width="12.21875" bestFit="1" customWidth="1"/>
    <col min="21" max="21" width="14.44140625" bestFit="1" customWidth="1"/>
    <col min="22" max="22" width="14.109375" bestFit="1" customWidth="1"/>
    <col min="23" max="23" width="12" bestFit="1" customWidth="1"/>
    <col min="24" max="24" width="12.88671875" bestFit="1" customWidth="1"/>
    <col min="25" max="25" width="10.88671875" bestFit="1" customWidth="1"/>
  </cols>
  <sheetData>
    <row r="1" spans="2:14" x14ac:dyDescent="0.3">
      <c r="M1" s="58" t="s">
        <v>174</v>
      </c>
      <c r="N1" s="58"/>
    </row>
    <row r="2" spans="2:14" x14ac:dyDescent="0.3">
      <c r="B2" s="37" t="s">
        <v>1</v>
      </c>
      <c r="C2" s="37" t="s">
        <v>116</v>
      </c>
      <c r="D2" s="37" t="s">
        <v>117</v>
      </c>
      <c r="F2" s="38" t="s">
        <v>47</v>
      </c>
      <c r="G2" s="38" t="s">
        <v>0</v>
      </c>
      <c r="H2" s="38" t="s">
        <v>118</v>
      </c>
      <c r="I2" s="38" t="s">
        <v>119</v>
      </c>
      <c r="M2" s="38" t="s">
        <v>47</v>
      </c>
      <c r="N2" s="38" t="s">
        <v>118</v>
      </c>
    </row>
    <row r="3" spans="2:14" x14ac:dyDescent="0.3">
      <c r="B3" s="39">
        <v>45403</v>
      </c>
      <c r="C3" s="40">
        <v>63309</v>
      </c>
      <c r="D3" s="40">
        <v>74208</v>
      </c>
      <c r="F3" s="29" t="s">
        <v>3</v>
      </c>
      <c r="G3" s="29" t="s">
        <v>31</v>
      </c>
      <c r="H3" s="12">
        <f t="shared" ref="H3:H29" si="0">CORREL($C$3:$C$26,B38:Y38)</f>
        <v>0.38366095069419615</v>
      </c>
      <c r="I3" s="19">
        <f t="shared" ref="I3:I29" si="1">CORREL($D$3:$D$26,B38:Y38)</f>
        <v>0.39372805169929426</v>
      </c>
      <c r="M3" s="29" t="s">
        <v>4</v>
      </c>
      <c r="N3" s="12">
        <v>0.77688985208576888</v>
      </c>
    </row>
    <row r="4" spans="2:14" x14ac:dyDescent="0.3">
      <c r="B4" s="39">
        <v>45433</v>
      </c>
      <c r="C4" s="40">
        <v>60800</v>
      </c>
      <c r="D4" s="40">
        <v>70046</v>
      </c>
      <c r="F4" s="29" t="s">
        <v>4</v>
      </c>
      <c r="G4" s="29" t="s">
        <v>31</v>
      </c>
      <c r="H4" s="12">
        <f t="shared" si="0"/>
        <v>0.77688985208576888</v>
      </c>
      <c r="I4" s="19">
        <f t="shared" si="1"/>
        <v>0.77255557137499586</v>
      </c>
      <c r="M4" s="29" t="s">
        <v>7</v>
      </c>
      <c r="N4" s="12">
        <v>0.76921432308331628</v>
      </c>
    </row>
    <row r="5" spans="2:14" x14ac:dyDescent="0.3">
      <c r="B5" s="39">
        <v>45464</v>
      </c>
      <c r="C5" s="40">
        <v>61073</v>
      </c>
      <c r="D5" s="40">
        <v>71679</v>
      </c>
      <c r="F5" s="29" t="s">
        <v>5</v>
      </c>
      <c r="G5" s="29" t="s">
        <v>31</v>
      </c>
      <c r="H5" s="12">
        <f t="shared" si="0"/>
        <v>-0.22999209803516488</v>
      </c>
      <c r="I5" s="19">
        <f t="shared" si="1"/>
        <v>-0.21698221038329499</v>
      </c>
      <c r="M5" s="29" t="s">
        <v>23</v>
      </c>
      <c r="N5" s="12">
        <v>0.74967936525099721</v>
      </c>
    </row>
    <row r="6" spans="2:14" x14ac:dyDescent="0.3">
      <c r="B6" s="41">
        <v>45494</v>
      </c>
      <c r="C6" s="40">
        <v>59461</v>
      </c>
      <c r="D6" s="40">
        <v>72860</v>
      </c>
      <c r="F6" s="29" t="s">
        <v>6</v>
      </c>
      <c r="G6" s="29" t="s">
        <v>31</v>
      </c>
      <c r="H6" s="12">
        <f t="shared" si="0"/>
        <v>0.49262018728084284</v>
      </c>
      <c r="I6" s="19">
        <f t="shared" si="1"/>
        <v>0.50472651759961396</v>
      </c>
      <c r="M6" s="29" t="s">
        <v>24</v>
      </c>
      <c r="N6" s="12">
        <v>0.68895028237551004</v>
      </c>
    </row>
    <row r="7" spans="2:14" x14ac:dyDescent="0.3">
      <c r="B7" s="41">
        <v>45525</v>
      </c>
      <c r="C7" s="40">
        <v>67311</v>
      </c>
      <c r="D7" s="40">
        <v>80983</v>
      </c>
      <c r="F7" s="29" t="s">
        <v>8</v>
      </c>
      <c r="G7" s="29" t="s">
        <v>31</v>
      </c>
      <c r="H7" s="12">
        <f t="shared" si="0"/>
        <v>0.4735809527112626</v>
      </c>
      <c r="I7" s="19">
        <f t="shared" si="1"/>
        <v>0.4425729396605832</v>
      </c>
      <c r="M7" s="29" t="s">
        <v>14</v>
      </c>
      <c r="N7" s="12">
        <v>0.66258790385956778</v>
      </c>
    </row>
    <row r="8" spans="2:14" x14ac:dyDescent="0.3">
      <c r="B8" s="41">
        <v>45556</v>
      </c>
      <c r="C8" s="40">
        <v>69110</v>
      </c>
      <c r="D8" s="40">
        <v>83035</v>
      </c>
      <c r="F8" s="29" t="s">
        <v>7</v>
      </c>
      <c r="G8" s="29" t="s">
        <v>31</v>
      </c>
      <c r="H8" s="12">
        <f t="shared" si="0"/>
        <v>0.76921432308331628</v>
      </c>
      <c r="I8" s="19">
        <f t="shared" si="1"/>
        <v>0.77470173358588923</v>
      </c>
      <c r="M8" s="29" t="s">
        <v>20</v>
      </c>
      <c r="N8" s="12">
        <v>0.659125392434595</v>
      </c>
    </row>
    <row r="9" spans="2:14" x14ac:dyDescent="0.3">
      <c r="B9" s="41">
        <v>45586</v>
      </c>
      <c r="C9" s="40">
        <v>72054</v>
      </c>
      <c r="D9" s="40">
        <v>91472</v>
      </c>
      <c r="F9" s="29" t="s">
        <v>9</v>
      </c>
      <c r="G9" s="29" t="s">
        <v>31</v>
      </c>
      <c r="H9" s="12">
        <f t="shared" si="0"/>
        <v>0.37988604533081849</v>
      </c>
      <c r="I9" s="19">
        <f t="shared" si="1"/>
        <v>0.39369455799387443</v>
      </c>
      <c r="M9" s="29" t="s">
        <v>17</v>
      </c>
      <c r="N9" s="12">
        <v>0.65523458607282237</v>
      </c>
    </row>
    <row r="10" spans="2:14" x14ac:dyDescent="0.3">
      <c r="B10" s="41">
        <v>45617</v>
      </c>
      <c r="C10" s="40">
        <v>79009</v>
      </c>
      <c r="D10" s="40">
        <v>95105</v>
      </c>
      <c r="F10" s="29" t="s">
        <v>10</v>
      </c>
      <c r="G10" s="29" t="s">
        <v>31</v>
      </c>
      <c r="H10" s="12">
        <f t="shared" si="0"/>
        <v>0.12989672987286868</v>
      </c>
      <c r="I10" s="19">
        <f t="shared" si="1"/>
        <v>0.14296361639924415</v>
      </c>
      <c r="M10" s="3" t="s">
        <v>27</v>
      </c>
      <c r="N10" s="12">
        <v>0.65311639716447722</v>
      </c>
    </row>
    <row r="11" spans="2:14" x14ac:dyDescent="0.3">
      <c r="B11" s="41">
        <v>45647</v>
      </c>
      <c r="C11" s="40">
        <v>81771</v>
      </c>
      <c r="D11" s="40">
        <v>100381</v>
      </c>
      <c r="F11" s="29" t="s">
        <v>11</v>
      </c>
      <c r="G11" s="29" t="s">
        <v>31</v>
      </c>
      <c r="H11" s="12">
        <f t="shared" si="0"/>
        <v>0.4572532765842115</v>
      </c>
      <c r="I11" s="19">
        <f t="shared" si="1"/>
        <v>0.49284745087843884</v>
      </c>
      <c r="M11" s="29" t="s">
        <v>26</v>
      </c>
      <c r="N11" s="12">
        <v>0.63708980768360279</v>
      </c>
    </row>
    <row r="12" spans="2:14" x14ac:dyDescent="0.3">
      <c r="B12" s="41">
        <v>45313</v>
      </c>
      <c r="C12" s="40">
        <v>86693</v>
      </c>
      <c r="D12" s="40">
        <v>101828</v>
      </c>
      <c r="F12" s="29" t="s">
        <v>12</v>
      </c>
      <c r="G12" s="29" t="s">
        <v>31</v>
      </c>
      <c r="H12" s="12">
        <f t="shared" si="0"/>
        <v>0.49085655366575026</v>
      </c>
      <c r="I12" s="19">
        <f t="shared" si="1"/>
        <v>0.49600213319586001</v>
      </c>
      <c r="M12" s="29" t="s">
        <v>18</v>
      </c>
      <c r="N12" s="12">
        <v>0.62914069487150548</v>
      </c>
    </row>
    <row r="13" spans="2:14" x14ac:dyDescent="0.3">
      <c r="B13" s="41">
        <v>45344</v>
      </c>
      <c r="C13" s="40">
        <v>87441</v>
      </c>
      <c r="D13" s="40">
        <v>102318</v>
      </c>
      <c r="F13" s="29" t="s">
        <v>13</v>
      </c>
      <c r="G13" s="29" t="s">
        <v>31</v>
      </c>
      <c r="H13" s="12">
        <f t="shared" si="0"/>
        <v>0.62035225220314205</v>
      </c>
      <c r="I13" s="19">
        <f t="shared" si="1"/>
        <v>0.63611166803045471</v>
      </c>
      <c r="M13" s="29" t="s">
        <v>16</v>
      </c>
      <c r="N13" s="12">
        <v>0.62398831168466473</v>
      </c>
    </row>
    <row r="14" spans="2:14" x14ac:dyDescent="0.3">
      <c r="B14" s="41">
        <v>45373</v>
      </c>
      <c r="C14" s="40">
        <v>113229</v>
      </c>
      <c r="D14" s="40">
        <v>134181</v>
      </c>
      <c r="F14" s="29" t="s">
        <v>120</v>
      </c>
      <c r="G14" s="29" t="s">
        <v>31</v>
      </c>
      <c r="H14" s="12">
        <f t="shared" si="0"/>
        <v>0.58818532547485636</v>
      </c>
      <c r="I14" s="19">
        <f t="shared" si="1"/>
        <v>0.59822000989377455</v>
      </c>
      <c r="M14" s="29" t="s">
        <v>21</v>
      </c>
      <c r="N14" s="12">
        <v>0.62373880903143508</v>
      </c>
    </row>
    <row r="15" spans="2:14" x14ac:dyDescent="0.3">
      <c r="B15" s="41">
        <v>45404</v>
      </c>
      <c r="C15" s="40">
        <v>128800</v>
      </c>
      <c r="D15" s="40">
        <v>151258</v>
      </c>
      <c r="F15" s="29" t="s">
        <v>14</v>
      </c>
      <c r="G15" s="29" t="s">
        <v>31</v>
      </c>
      <c r="H15" s="12">
        <f t="shared" si="0"/>
        <v>0.66258790385956778</v>
      </c>
      <c r="I15" s="19">
        <f t="shared" si="1"/>
        <v>0.67406118927173608</v>
      </c>
      <c r="M15" s="29" t="s">
        <v>13</v>
      </c>
      <c r="N15" s="12">
        <v>0.62035225220314205</v>
      </c>
    </row>
    <row r="16" spans="2:14" x14ac:dyDescent="0.3">
      <c r="B16" s="41">
        <v>45434</v>
      </c>
      <c r="C16" s="40">
        <v>119634</v>
      </c>
      <c r="D16" s="40">
        <v>137782</v>
      </c>
      <c r="F16" s="29" t="s">
        <v>15</v>
      </c>
      <c r="G16" s="29" t="s">
        <v>31</v>
      </c>
      <c r="H16" s="12">
        <f t="shared" si="0"/>
        <v>0.45158949005075633</v>
      </c>
      <c r="I16" s="19">
        <f t="shared" si="1"/>
        <v>0.47047427895153326</v>
      </c>
      <c r="M16" s="29" t="s">
        <v>120</v>
      </c>
      <c r="N16" s="12">
        <v>0.58818532547485636</v>
      </c>
    </row>
    <row r="17" spans="2:14" x14ac:dyDescent="0.3">
      <c r="B17" s="41">
        <v>45465</v>
      </c>
      <c r="C17" s="40">
        <v>121898</v>
      </c>
      <c r="D17" s="40">
        <v>140362</v>
      </c>
      <c r="F17" s="29" t="s">
        <v>16</v>
      </c>
      <c r="G17" s="29" t="s">
        <v>31</v>
      </c>
      <c r="H17" s="12">
        <f t="shared" si="0"/>
        <v>0.62398831168466473</v>
      </c>
      <c r="I17" s="19">
        <f t="shared" si="1"/>
        <v>0.63293247427820665</v>
      </c>
      <c r="M17" s="29" t="s">
        <v>22</v>
      </c>
      <c r="N17" s="12">
        <v>0.56022482588733835</v>
      </c>
    </row>
    <row r="18" spans="2:14" x14ac:dyDescent="0.3">
      <c r="B18" s="41">
        <v>45495</v>
      </c>
      <c r="C18" s="40">
        <v>128755</v>
      </c>
      <c r="D18" s="40">
        <v>148619</v>
      </c>
      <c r="F18" s="29" t="s">
        <v>17</v>
      </c>
      <c r="G18" s="29" t="s">
        <v>31</v>
      </c>
      <c r="H18" s="12">
        <f t="shared" si="0"/>
        <v>0.65523458607282237</v>
      </c>
      <c r="I18" s="19">
        <f t="shared" si="1"/>
        <v>0.66244501582353366</v>
      </c>
      <c r="M18" s="29" t="s">
        <v>19</v>
      </c>
      <c r="N18" s="12">
        <v>0.55347777509285989</v>
      </c>
    </row>
    <row r="19" spans="2:14" x14ac:dyDescent="0.3">
      <c r="B19" s="41">
        <v>45526</v>
      </c>
      <c r="C19" s="40">
        <v>104567</v>
      </c>
      <c r="D19" s="40">
        <v>120976</v>
      </c>
      <c r="F19" s="29" t="s">
        <v>18</v>
      </c>
      <c r="G19" s="29" t="s">
        <v>31</v>
      </c>
      <c r="H19" s="12">
        <f t="shared" si="0"/>
        <v>0.62914069487150548</v>
      </c>
      <c r="I19" s="19">
        <f t="shared" si="1"/>
        <v>0.63779345207113924</v>
      </c>
      <c r="M19" s="29" t="s">
        <v>121</v>
      </c>
      <c r="N19" s="12">
        <v>0.55335719637124781</v>
      </c>
    </row>
    <row r="20" spans="2:14" x14ac:dyDescent="0.3">
      <c r="B20" s="41">
        <v>45557</v>
      </c>
      <c r="C20" s="40">
        <v>95158</v>
      </c>
      <c r="D20" s="40">
        <v>110016</v>
      </c>
      <c r="F20" s="29" t="s">
        <v>19</v>
      </c>
      <c r="G20" s="29" t="s">
        <v>31</v>
      </c>
      <c r="H20" s="12">
        <f t="shared" si="0"/>
        <v>0.55347777509285989</v>
      </c>
      <c r="I20" s="19">
        <f t="shared" si="1"/>
        <v>0.56491440600985598</v>
      </c>
      <c r="M20" s="29" t="s">
        <v>25</v>
      </c>
      <c r="N20" s="12">
        <v>0.5519808318430971</v>
      </c>
    </row>
    <row r="21" spans="2:14" x14ac:dyDescent="0.3">
      <c r="B21" s="41">
        <v>45587</v>
      </c>
      <c r="C21" s="40">
        <v>99194</v>
      </c>
      <c r="D21" s="40">
        <v>116548</v>
      </c>
      <c r="F21" s="29" t="s">
        <v>20</v>
      </c>
      <c r="G21" s="29" t="s">
        <v>31</v>
      </c>
      <c r="H21" s="12">
        <f t="shared" si="0"/>
        <v>0.659125392434595</v>
      </c>
      <c r="I21" s="19">
        <f t="shared" si="1"/>
        <v>0.6639601056788218</v>
      </c>
      <c r="M21" s="29" t="s">
        <v>6</v>
      </c>
      <c r="N21" s="12">
        <v>0.49262018728084284</v>
      </c>
    </row>
    <row r="22" spans="2:14" x14ac:dyDescent="0.3">
      <c r="B22" s="41">
        <v>45618</v>
      </c>
      <c r="C22" s="40">
        <v>100259</v>
      </c>
      <c r="D22" s="40">
        <v>118277</v>
      </c>
      <c r="F22" s="29" t="s">
        <v>21</v>
      </c>
      <c r="G22" s="29" t="s">
        <v>31</v>
      </c>
      <c r="H22" s="12">
        <f t="shared" si="0"/>
        <v>0.62373880903143508</v>
      </c>
      <c r="I22" s="19">
        <f t="shared" si="1"/>
        <v>0.63229330145764784</v>
      </c>
      <c r="M22" s="29" t="s">
        <v>12</v>
      </c>
      <c r="N22" s="12">
        <v>0.49085655366575026</v>
      </c>
    </row>
    <row r="23" spans="2:14" x14ac:dyDescent="0.3">
      <c r="B23" s="41">
        <v>45648</v>
      </c>
      <c r="C23" s="40">
        <v>94253</v>
      </c>
      <c r="D23" s="40">
        <v>112095</v>
      </c>
      <c r="F23" s="29" t="s">
        <v>22</v>
      </c>
      <c r="G23" s="29" t="s">
        <v>31</v>
      </c>
      <c r="H23" s="12">
        <f t="shared" si="0"/>
        <v>0.56022482588733835</v>
      </c>
      <c r="I23" s="19">
        <f t="shared" si="1"/>
        <v>0.57564037663755485</v>
      </c>
      <c r="M23" s="29" t="s">
        <v>8</v>
      </c>
      <c r="N23" s="12">
        <v>0.4735809527112626</v>
      </c>
    </row>
    <row r="24" spans="2:14" x14ac:dyDescent="0.3">
      <c r="B24" s="41">
        <v>45314</v>
      </c>
      <c r="C24" s="40">
        <v>92442</v>
      </c>
      <c r="D24" s="40">
        <v>108893</v>
      </c>
      <c r="F24" s="29" t="s">
        <v>23</v>
      </c>
      <c r="G24" s="29" t="s">
        <v>31</v>
      </c>
      <c r="H24" s="12">
        <f t="shared" si="0"/>
        <v>0.74967936525099721</v>
      </c>
      <c r="I24" s="19">
        <f t="shared" si="1"/>
        <v>0.76580729023289673</v>
      </c>
      <c r="M24" s="29" t="s">
        <v>11</v>
      </c>
      <c r="N24" s="12">
        <v>0.4572532765842115</v>
      </c>
    </row>
    <row r="25" spans="2:14" x14ac:dyDescent="0.3">
      <c r="B25" s="41">
        <v>45345</v>
      </c>
      <c r="C25" s="29">
        <v>85798</v>
      </c>
      <c r="D25" s="29">
        <v>103744</v>
      </c>
      <c r="F25" s="29" t="s">
        <v>24</v>
      </c>
      <c r="G25" s="29" t="s">
        <v>31</v>
      </c>
      <c r="H25" s="12">
        <f t="shared" si="0"/>
        <v>0.68895028237551004</v>
      </c>
      <c r="I25" s="19">
        <f t="shared" si="1"/>
        <v>0.69943396433866178</v>
      </c>
      <c r="M25" s="29" t="s">
        <v>15</v>
      </c>
      <c r="N25" s="12">
        <v>0.45158949005075633</v>
      </c>
    </row>
    <row r="26" spans="2:14" x14ac:dyDescent="0.3">
      <c r="B26" s="41">
        <v>45374</v>
      </c>
      <c r="C26" s="29">
        <v>89613</v>
      </c>
      <c r="D26" s="29">
        <v>107656</v>
      </c>
      <c r="F26" s="29" t="s">
        <v>25</v>
      </c>
      <c r="G26" s="29" t="s">
        <v>31</v>
      </c>
      <c r="H26" s="12">
        <f t="shared" si="0"/>
        <v>0.5519808318430971</v>
      </c>
      <c r="I26" s="19">
        <f t="shared" si="1"/>
        <v>0.55988051509446923</v>
      </c>
      <c r="M26" s="29" t="s">
        <v>3</v>
      </c>
      <c r="N26" s="12">
        <v>0.38366095069419615</v>
      </c>
    </row>
    <row r="27" spans="2:14" x14ac:dyDescent="0.3">
      <c r="F27" s="29" t="s">
        <v>121</v>
      </c>
      <c r="G27" s="29" t="s">
        <v>31</v>
      </c>
      <c r="H27" s="12">
        <f t="shared" si="0"/>
        <v>0.55335719637124781</v>
      </c>
      <c r="I27" s="19">
        <f t="shared" si="1"/>
        <v>0.56755625128124643</v>
      </c>
      <c r="M27" s="29" t="s">
        <v>9</v>
      </c>
      <c r="N27" s="12">
        <v>0.37988604533081849</v>
      </c>
    </row>
    <row r="28" spans="2:14" x14ac:dyDescent="0.3">
      <c r="F28" s="29" t="s">
        <v>26</v>
      </c>
      <c r="G28" s="29" t="s">
        <v>31</v>
      </c>
      <c r="H28" s="12">
        <f t="shared" si="0"/>
        <v>0.63708980768360279</v>
      </c>
      <c r="I28" s="19">
        <f t="shared" si="1"/>
        <v>0.65067622223497756</v>
      </c>
      <c r="M28" s="29" t="s">
        <v>10</v>
      </c>
      <c r="N28" s="12">
        <v>0.12989672987286868</v>
      </c>
    </row>
    <row r="29" spans="2:14" x14ac:dyDescent="0.3">
      <c r="F29" s="3" t="s">
        <v>27</v>
      </c>
      <c r="G29" s="3" t="s">
        <v>31</v>
      </c>
      <c r="H29" s="12">
        <f t="shared" si="0"/>
        <v>0.65311639716447722</v>
      </c>
      <c r="I29" s="19">
        <f t="shared" si="1"/>
        <v>0.6644261364531413</v>
      </c>
      <c r="M29" s="29" t="s">
        <v>5</v>
      </c>
      <c r="N29" s="12">
        <v>-0.22999209803516488</v>
      </c>
    </row>
    <row r="37" spans="1:25" x14ac:dyDescent="0.3">
      <c r="A37" s="42" t="s">
        <v>122</v>
      </c>
      <c r="B37" s="43" t="s">
        <v>123</v>
      </c>
      <c r="C37" s="43" t="s">
        <v>124</v>
      </c>
      <c r="D37" s="43" t="s">
        <v>125</v>
      </c>
      <c r="E37" s="43" t="s">
        <v>126</v>
      </c>
      <c r="F37" s="43" t="s">
        <v>127</v>
      </c>
      <c r="G37" s="43" t="s">
        <v>128</v>
      </c>
      <c r="H37" s="43" t="s">
        <v>129</v>
      </c>
      <c r="I37" s="43" t="s">
        <v>130</v>
      </c>
      <c r="J37" s="43" t="s">
        <v>131</v>
      </c>
      <c r="K37" s="43" t="s">
        <v>132</v>
      </c>
      <c r="L37" s="43" t="s">
        <v>133</v>
      </c>
      <c r="M37" s="43" t="s">
        <v>134</v>
      </c>
      <c r="N37" s="43" t="s">
        <v>135</v>
      </c>
      <c r="O37" s="43" t="s">
        <v>136</v>
      </c>
      <c r="P37" s="43" t="s">
        <v>137</v>
      </c>
      <c r="Q37" s="43" t="s">
        <v>138</v>
      </c>
      <c r="R37" s="43" t="s">
        <v>139</v>
      </c>
      <c r="S37" s="43" t="s">
        <v>140</v>
      </c>
      <c r="T37" s="43" t="s">
        <v>141</v>
      </c>
      <c r="U37" s="43" t="s">
        <v>142</v>
      </c>
      <c r="V37" s="43" t="s">
        <v>143</v>
      </c>
      <c r="W37" s="43" t="s">
        <v>144</v>
      </c>
      <c r="X37" s="43" t="s">
        <v>145</v>
      </c>
      <c r="Y37" s="43" t="s">
        <v>146</v>
      </c>
    </row>
    <row r="38" spans="1:25" x14ac:dyDescent="0.3">
      <c r="A38" s="44" t="s">
        <v>147</v>
      </c>
      <c r="B38" s="3">
        <v>144.30000000000001</v>
      </c>
      <c r="C38" s="3">
        <v>146.30000000000001</v>
      </c>
      <c r="D38" s="3">
        <v>146.69999999999999</v>
      </c>
      <c r="E38" s="3">
        <v>146.4</v>
      </c>
      <c r="F38" s="3">
        <v>146.6</v>
      </c>
      <c r="G38" s="3">
        <v>146.6</v>
      </c>
      <c r="H38" s="3">
        <v>147.4</v>
      </c>
      <c r="I38" s="3">
        <v>148.19999999999999</v>
      </c>
      <c r="J38" s="3">
        <v>148.69999999999999</v>
      </c>
      <c r="K38" s="3">
        <v>149.5</v>
      </c>
      <c r="L38" s="3">
        <v>150</v>
      </c>
      <c r="M38" s="3">
        <v>151.30000000000001</v>
      </c>
      <c r="N38" s="3">
        <v>152.9</v>
      </c>
      <c r="O38" s="3">
        <v>154.1</v>
      </c>
      <c r="P38" s="3">
        <v>155</v>
      </c>
      <c r="Q38" s="3">
        <v>156.5</v>
      </c>
      <c r="R38" s="3">
        <v>160.30000000000001</v>
      </c>
      <c r="S38" s="3">
        <v>163.5</v>
      </c>
      <c r="T38" s="3">
        <v>165.2</v>
      </c>
      <c r="U38" s="3">
        <v>167.4</v>
      </c>
      <c r="V38" s="3">
        <v>169.2</v>
      </c>
      <c r="W38" s="3">
        <v>173.8</v>
      </c>
      <c r="X38" s="3">
        <v>174.4</v>
      </c>
      <c r="Y38" s="3">
        <v>174.4</v>
      </c>
    </row>
    <row r="39" spans="1:25" x14ac:dyDescent="0.3">
      <c r="A39" s="44" t="s">
        <v>148</v>
      </c>
      <c r="B39" s="3">
        <v>198</v>
      </c>
      <c r="C39" s="3">
        <v>200.5</v>
      </c>
      <c r="D39" s="3">
        <v>202</v>
      </c>
      <c r="E39" s="3">
        <v>206.8</v>
      </c>
      <c r="F39" s="3">
        <v>204</v>
      </c>
      <c r="G39" s="3">
        <v>204</v>
      </c>
      <c r="H39" s="3">
        <v>204.6</v>
      </c>
      <c r="I39" s="3">
        <v>201.6</v>
      </c>
      <c r="J39" s="3">
        <v>198.8</v>
      </c>
      <c r="K39" s="3">
        <v>198.7</v>
      </c>
      <c r="L39" s="3">
        <v>200.6</v>
      </c>
      <c r="M39" s="3">
        <v>210.7</v>
      </c>
      <c r="N39" s="3">
        <v>211.8</v>
      </c>
      <c r="O39" s="3">
        <v>217</v>
      </c>
      <c r="P39" s="3">
        <v>219.4</v>
      </c>
      <c r="Q39" s="3">
        <v>213</v>
      </c>
      <c r="R39" s="3">
        <v>206.5</v>
      </c>
      <c r="S39" s="3">
        <v>209.2</v>
      </c>
      <c r="T39" s="3">
        <v>210.9</v>
      </c>
      <c r="U39" s="3">
        <v>209.4</v>
      </c>
      <c r="V39" s="3">
        <v>209</v>
      </c>
      <c r="W39" s="3">
        <v>210.7</v>
      </c>
      <c r="X39" s="3">
        <v>207.7</v>
      </c>
      <c r="Y39" s="3">
        <v>207.7</v>
      </c>
    </row>
    <row r="40" spans="1:25" x14ac:dyDescent="0.3">
      <c r="A40" s="44" t="s">
        <v>149</v>
      </c>
      <c r="B40" s="3">
        <v>164.6</v>
      </c>
      <c r="C40" s="3">
        <v>170.3</v>
      </c>
      <c r="D40" s="3">
        <v>180.7</v>
      </c>
      <c r="E40" s="3">
        <v>182.2</v>
      </c>
      <c r="F40" s="3">
        <v>172.8</v>
      </c>
      <c r="G40" s="3">
        <v>172.8</v>
      </c>
      <c r="H40" s="3">
        <v>171.2</v>
      </c>
      <c r="I40" s="3">
        <v>173</v>
      </c>
      <c r="J40" s="3">
        <v>177.9</v>
      </c>
      <c r="K40" s="3">
        <v>178.8</v>
      </c>
      <c r="L40" s="3">
        <v>175.8</v>
      </c>
      <c r="M40" s="3">
        <v>167.8</v>
      </c>
      <c r="N40" s="3">
        <v>164.5</v>
      </c>
      <c r="O40" s="3">
        <v>162.4</v>
      </c>
      <c r="P40" s="3">
        <v>170.8</v>
      </c>
      <c r="Q40" s="3">
        <v>175.2</v>
      </c>
      <c r="R40" s="3">
        <v>169.2</v>
      </c>
      <c r="S40" s="3">
        <v>169.7</v>
      </c>
      <c r="T40" s="3">
        <v>170.9</v>
      </c>
      <c r="U40" s="3">
        <v>181.4</v>
      </c>
      <c r="V40" s="3">
        <v>190.2</v>
      </c>
      <c r="W40" s="3">
        <v>194.5</v>
      </c>
      <c r="X40" s="3">
        <v>175.2</v>
      </c>
      <c r="Y40" s="3">
        <v>175.2</v>
      </c>
    </row>
    <row r="41" spans="1:25" x14ac:dyDescent="0.3">
      <c r="A41" s="44" t="s">
        <v>150</v>
      </c>
      <c r="B41" s="3">
        <v>155.4</v>
      </c>
      <c r="C41" s="3">
        <v>156.1</v>
      </c>
      <c r="D41" s="3">
        <v>156.19999999999999</v>
      </c>
      <c r="E41" s="3">
        <v>157.5</v>
      </c>
      <c r="F41" s="3">
        <v>158.4</v>
      </c>
      <c r="G41" s="3">
        <v>158.4</v>
      </c>
      <c r="H41" s="3">
        <v>158.69999999999999</v>
      </c>
      <c r="I41" s="3">
        <v>159.30000000000001</v>
      </c>
      <c r="J41" s="3">
        <v>159.9</v>
      </c>
      <c r="K41" s="3">
        <v>160.5</v>
      </c>
      <c r="L41" s="3">
        <v>160.69999999999999</v>
      </c>
      <c r="M41" s="3">
        <v>162.19999999999999</v>
      </c>
      <c r="N41" s="3">
        <v>163.9</v>
      </c>
      <c r="O41" s="3">
        <v>164.9</v>
      </c>
      <c r="P41" s="3">
        <v>165.8</v>
      </c>
      <c r="Q41" s="3">
        <v>166.6</v>
      </c>
      <c r="R41" s="3">
        <v>168.1</v>
      </c>
      <c r="S41" s="3">
        <v>169.7</v>
      </c>
      <c r="T41" s="3">
        <v>170.9</v>
      </c>
      <c r="U41" s="3">
        <v>172.3</v>
      </c>
      <c r="V41" s="3">
        <v>173.6</v>
      </c>
      <c r="W41" s="3">
        <v>174.6</v>
      </c>
      <c r="X41" s="3">
        <v>177.3</v>
      </c>
      <c r="Y41" s="3">
        <v>177.3</v>
      </c>
    </row>
    <row r="42" spans="1:25" x14ac:dyDescent="0.3">
      <c r="A42" s="44" t="s">
        <v>151</v>
      </c>
      <c r="B42" s="3">
        <v>164.4</v>
      </c>
      <c r="C42" s="3">
        <v>167.1</v>
      </c>
      <c r="D42" s="3">
        <v>164.6</v>
      </c>
      <c r="E42" s="3">
        <v>163.9</v>
      </c>
      <c r="F42" s="3">
        <v>156.80000000000001</v>
      </c>
      <c r="G42" s="3">
        <v>156.69999999999999</v>
      </c>
      <c r="H42" s="3">
        <v>155.69999999999999</v>
      </c>
      <c r="I42" s="3">
        <v>156.5</v>
      </c>
      <c r="J42" s="3">
        <v>154.9</v>
      </c>
      <c r="K42" s="3">
        <v>153.69999999999999</v>
      </c>
      <c r="L42" s="3">
        <v>153.69999999999999</v>
      </c>
      <c r="M42" s="3">
        <v>157.6</v>
      </c>
      <c r="N42" s="3">
        <v>172.6</v>
      </c>
      <c r="O42" s="3">
        <v>171</v>
      </c>
      <c r="P42" s="3">
        <v>169.7</v>
      </c>
      <c r="Q42" s="3">
        <v>174.2</v>
      </c>
      <c r="R42" s="3">
        <v>172.9</v>
      </c>
      <c r="S42" s="3">
        <v>165.7</v>
      </c>
      <c r="T42" s="3">
        <v>163.80000000000001</v>
      </c>
      <c r="U42" s="3">
        <v>160.69999999999999</v>
      </c>
      <c r="V42" s="3">
        <v>158</v>
      </c>
      <c r="W42" s="3">
        <v>158.30000000000001</v>
      </c>
      <c r="X42" s="3">
        <v>169.5</v>
      </c>
      <c r="Y42" s="3">
        <v>169.5</v>
      </c>
    </row>
    <row r="43" spans="1:25" x14ac:dyDescent="0.3">
      <c r="A43" s="44" t="s">
        <v>152</v>
      </c>
      <c r="B43" s="3">
        <v>170.1</v>
      </c>
      <c r="C43" s="3">
        <v>178.7</v>
      </c>
      <c r="D43" s="3">
        <v>183.7</v>
      </c>
      <c r="E43" s="3">
        <v>182.1</v>
      </c>
      <c r="F43" s="3">
        <v>188</v>
      </c>
      <c r="G43" s="3">
        <v>188</v>
      </c>
      <c r="H43" s="3">
        <v>190.6</v>
      </c>
      <c r="I43" s="3">
        <v>190.1</v>
      </c>
      <c r="J43" s="3">
        <v>187.6</v>
      </c>
      <c r="K43" s="3">
        <v>184.7</v>
      </c>
      <c r="L43" s="3">
        <v>184.9</v>
      </c>
      <c r="M43" s="3">
        <v>194.6</v>
      </c>
      <c r="N43" s="3">
        <v>199.5</v>
      </c>
      <c r="O43" s="3">
        <v>202.4</v>
      </c>
      <c r="P43" s="3">
        <v>200.9</v>
      </c>
      <c r="Q43" s="3">
        <v>195.8</v>
      </c>
      <c r="R43" s="3">
        <v>192.4</v>
      </c>
      <c r="S43" s="3">
        <v>188.7</v>
      </c>
      <c r="T43" s="3">
        <v>186.5</v>
      </c>
      <c r="U43" s="3">
        <v>188.9</v>
      </c>
      <c r="V43" s="3">
        <v>188.5</v>
      </c>
      <c r="W43" s="3">
        <v>187.2</v>
      </c>
      <c r="X43" s="3">
        <v>179.3</v>
      </c>
      <c r="Y43" s="3">
        <v>179.2</v>
      </c>
    </row>
    <row r="44" spans="1:25" x14ac:dyDescent="0.3">
      <c r="A44" s="44" t="s">
        <v>153</v>
      </c>
      <c r="B44" s="3">
        <v>144.1</v>
      </c>
      <c r="C44" s="3">
        <v>147.9</v>
      </c>
      <c r="D44" s="3">
        <v>155.4</v>
      </c>
      <c r="E44" s="3">
        <v>164.2</v>
      </c>
      <c r="F44" s="3">
        <v>162.19999999999999</v>
      </c>
      <c r="G44" s="3">
        <v>162.30000000000001</v>
      </c>
      <c r="H44" s="3">
        <v>185.3</v>
      </c>
      <c r="I44" s="3">
        <v>199.2</v>
      </c>
      <c r="J44" s="3">
        <v>188.3</v>
      </c>
      <c r="K44" s="3">
        <v>174.3</v>
      </c>
      <c r="L44" s="3">
        <v>169.7</v>
      </c>
      <c r="M44" s="3">
        <v>166.9</v>
      </c>
      <c r="N44" s="3">
        <v>166.2</v>
      </c>
      <c r="O44" s="3">
        <v>174.9</v>
      </c>
      <c r="P44" s="3">
        <v>182.3</v>
      </c>
      <c r="Q44" s="3">
        <v>182.1</v>
      </c>
      <c r="R44" s="3">
        <v>186.7</v>
      </c>
      <c r="S44" s="3">
        <v>191.8</v>
      </c>
      <c r="T44" s="3">
        <v>199.7</v>
      </c>
      <c r="U44" s="3">
        <v>183.1</v>
      </c>
      <c r="V44" s="3">
        <v>159.9</v>
      </c>
      <c r="W44" s="3">
        <v>153.9</v>
      </c>
      <c r="X44" s="3">
        <v>152.69999999999999</v>
      </c>
      <c r="Y44" s="3">
        <v>152.80000000000001</v>
      </c>
    </row>
    <row r="45" spans="1:25" x14ac:dyDescent="0.3">
      <c r="A45" s="44" t="s">
        <v>154</v>
      </c>
      <c r="B45" s="3">
        <v>161.69999999999999</v>
      </c>
      <c r="C45" s="3">
        <v>165.4</v>
      </c>
      <c r="D45" s="3">
        <v>166</v>
      </c>
      <c r="E45" s="3">
        <v>164</v>
      </c>
      <c r="F45" s="3">
        <v>164.1</v>
      </c>
      <c r="G45" s="3">
        <v>164.1</v>
      </c>
      <c r="H45" s="3">
        <v>165.2</v>
      </c>
      <c r="I45" s="3">
        <v>165.3</v>
      </c>
      <c r="J45" s="3">
        <v>164.4</v>
      </c>
      <c r="K45" s="3">
        <v>163.9</v>
      </c>
      <c r="L45" s="3">
        <v>163.69999999999999</v>
      </c>
      <c r="M45" s="3">
        <v>163.9</v>
      </c>
      <c r="N45" s="3">
        <v>164.7</v>
      </c>
      <c r="O45" s="3">
        <v>164.7</v>
      </c>
      <c r="P45" s="3">
        <v>164.3</v>
      </c>
      <c r="Q45" s="3">
        <v>164.3</v>
      </c>
      <c r="R45" s="3">
        <v>167.2</v>
      </c>
      <c r="S45" s="3">
        <v>169.1</v>
      </c>
      <c r="T45" s="3">
        <v>169.8</v>
      </c>
      <c r="U45" s="3">
        <v>170.5</v>
      </c>
      <c r="V45" s="3">
        <v>170.8</v>
      </c>
      <c r="W45" s="3">
        <v>170.9</v>
      </c>
      <c r="X45" s="3">
        <v>171</v>
      </c>
      <c r="Y45" s="3">
        <v>171.1</v>
      </c>
    </row>
    <row r="46" spans="1:25" x14ac:dyDescent="0.3">
      <c r="A46" s="44" t="s">
        <v>155</v>
      </c>
      <c r="B46" s="3">
        <v>113.1</v>
      </c>
      <c r="C46" s="3">
        <v>114.8</v>
      </c>
      <c r="D46" s="3">
        <v>115.1</v>
      </c>
      <c r="E46" s="3">
        <v>114.5</v>
      </c>
      <c r="F46" s="3">
        <v>119.7</v>
      </c>
      <c r="G46" s="3">
        <v>119.7</v>
      </c>
      <c r="H46" s="3">
        <v>121.9</v>
      </c>
      <c r="I46" s="3">
        <v>122.4</v>
      </c>
      <c r="J46" s="3">
        <v>121</v>
      </c>
      <c r="K46" s="3">
        <v>120</v>
      </c>
      <c r="L46" s="3">
        <v>118.9</v>
      </c>
      <c r="M46" s="3">
        <v>118.8</v>
      </c>
      <c r="N46" s="3">
        <v>119</v>
      </c>
      <c r="O46" s="3">
        <v>119.7</v>
      </c>
      <c r="P46" s="3">
        <v>119.9</v>
      </c>
      <c r="Q46" s="3">
        <v>120</v>
      </c>
      <c r="R46" s="3">
        <v>120.9</v>
      </c>
      <c r="S46" s="3">
        <v>121.6</v>
      </c>
      <c r="T46" s="3">
        <v>121.9</v>
      </c>
      <c r="U46" s="3">
        <v>122.1</v>
      </c>
      <c r="V46" s="3">
        <v>121.8</v>
      </c>
      <c r="W46" s="3">
        <v>121.1</v>
      </c>
      <c r="X46" s="3">
        <v>120</v>
      </c>
      <c r="Y46" s="3">
        <v>120</v>
      </c>
    </row>
    <row r="47" spans="1:25" x14ac:dyDescent="0.3">
      <c r="A47" s="44" t="s">
        <v>156</v>
      </c>
      <c r="B47" s="3">
        <v>163.9</v>
      </c>
      <c r="C47" s="3">
        <v>168.2</v>
      </c>
      <c r="D47" s="3">
        <v>168.5</v>
      </c>
      <c r="E47" s="3">
        <v>168.3</v>
      </c>
      <c r="F47" s="3">
        <v>168.8</v>
      </c>
      <c r="G47" s="3">
        <v>168.8</v>
      </c>
      <c r="H47" s="3">
        <v>169.3</v>
      </c>
      <c r="I47" s="3">
        <v>169.6</v>
      </c>
      <c r="J47" s="3">
        <v>170.5</v>
      </c>
      <c r="K47" s="3">
        <v>172.1</v>
      </c>
      <c r="L47" s="3">
        <v>174.3</v>
      </c>
      <c r="M47" s="3">
        <v>177.4</v>
      </c>
      <c r="N47" s="3">
        <v>181.3</v>
      </c>
      <c r="O47" s="3">
        <v>184.9</v>
      </c>
      <c r="P47" s="3">
        <v>187.1</v>
      </c>
      <c r="Q47" s="3">
        <v>190</v>
      </c>
      <c r="R47" s="3">
        <v>193.6</v>
      </c>
      <c r="S47" s="3">
        <v>197.3</v>
      </c>
      <c r="T47" s="3">
        <v>199.9</v>
      </c>
      <c r="U47" s="3">
        <v>202.8</v>
      </c>
      <c r="V47" s="3">
        <v>205.2</v>
      </c>
      <c r="W47" s="3">
        <v>208.4</v>
      </c>
      <c r="X47" s="3">
        <v>209.7</v>
      </c>
      <c r="Y47" s="3">
        <v>209.7</v>
      </c>
    </row>
    <row r="48" spans="1:25" x14ac:dyDescent="0.3">
      <c r="A48" s="44" t="s">
        <v>157</v>
      </c>
      <c r="B48" s="3">
        <v>157.6</v>
      </c>
      <c r="C48" s="3">
        <v>159.30000000000001</v>
      </c>
      <c r="D48" s="3">
        <v>160</v>
      </c>
      <c r="E48" s="3">
        <v>160.9</v>
      </c>
      <c r="F48" s="3">
        <v>162.69999999999999</v>
      </c>
      <c r="G48" s="3">
        <v>162.69999999999999</v>
      </c>
      <c r="H48" s="3">
        <v>163.19999999999999</v>
      </c>
      <c r="I48" s="3">
        <v>163.69999999999999</v>
      </c>
      <c r="J48" s="3">
        <v>164.2</v>
      </c>
      <c r="K48" s="3">
        <v>164.3</v>
      </c>
      <c r="L48" s="3">
        <v>164.7</v>
      </c>
      <c r="M48" s="3">
        <v>165.3</v>
      </c>
      <c r="N48" s="3">
        <v>166.2</v>
      </c>
      <c r="O48" s="3">
        <v>167.1</v>
      </c>
      <c r="P48" s="3">
        <v>167.9</v>
      </c>
      <c r="Q48" s="3">
        <v>168.4</v>
      </c>
      <c r="R48" s="3">
        <v>168.8</v>
      </c>
      <c r="S48" s="3">
        <v>169.4</v>
      </c>
      <c r="T48" s="3">
        <v>169.9</v>
      </c>
      <c r="U48" s="3">
        <v>170.4</v>
      </c>
      <c r="V48" s="3">
        <v>171</v>
      </c>
      <c r="W48" s="3">
        <v>171.4</v>
      </c>
      <c r="X48" s="3">
        <v>172.3</v>
      </c>
      <c r="Y48" s="3">
        <v>172.3</v>
      </c>
    </row>
    <row r="49" spans="1:25" x14ac:dyDescent="0.3">
      <c r="A49" s="44" t="s">
        <v>158</v>
      </c>
      <c r="B49" s="3">
        <v>168.9</v>
      </c>
      <c r="C49" s="3">
        <v>170.4</v>
      </c>
      <c r="D49" s="3">
        <v>172.4</v>
      </c>
      <c r="E49" s="3">
        <v>172.2</v>
      </c>
      <c r="F49" s="3">
        <v>173.9</v>
      </c>
      <c r="G49" s="3">
        <v>173.9</v>
      </c>
      <c r="H49" s="3">
        <v>174.7</v>
      </c>
      <c r="I49" s="3">
        <v>175.5</v>
      </c>
      <c r="J49" s="3">
        <v>176.5</v>
      </c>
      <c r="K49" s="3">
        <v>177.3</v>
      </c>
      <c r="L49" s="3">
        <v>178</v>
      </c>
      <c r="M49" s="3">
        <v>179.3</v>
      </c>
      <c r="N49" s="3">
        <v>180.9</v>
      </c>
      <c r="O49" s="3">
        <v>182.5</v>
      </c>
      <c r="P49" s="3">
        <v>183.9</v>
      </c>
      <c r="Q49" s="3">
        <v>185.2</v>
      </c>
      <c r="R49" s="3">
        <v>186.3</v>
      </c>
      <c r="S49" s="3">
        <v>187.4</v>
      </c>
      <c r="T49" s="3">
        <v>188.3</v>
      </c>
      <c r="U49" s="3">
        <v>189.5</v>
      </c>
      <c r="V49" s="3">
        <v>190.3</v>
      </c>
      <c r="W49" s="3">
        <v>191.2</v>
      </c>
      <c r="X49" s="3">
        <v>193</v>
      </c>
      <c r="Y49" s="3">
        <v>193</v>
      </c>
    </row>
    <row r="50" spans="1:25" x14ac:dyDescent="0.3">
      <c r="A50" s="44" t="s">
        <v>159</v>
      </c>
      <c r="B50" s="3">
        <v>158</v>
      </c>
      <c r="C50" s="3">
        <v>160.69999999999999</v>
      </c>
      <c r="D50" s="3">
        <v>162.6</v>
      </c>
      <c r="E50" s="3">
        <v>164</v>
      </c>
      <c r="F50" s="3">
        <v>164</v>
      </c>
      <c r="G50" s="3">
        <v>164</v>
      </c>
      <c r="H50" s="3">
        <v>167.7</v>
      </c>
      <c r="I50" s="3">
        <v>169.7</v>
      </c>
      <c r="J50" s="3">
        <v>168.2</v>
      </c>
      <c r="K50" s="3">
        <v>166.4</v>
      </c>
      <c r="L50" s="3">
        <v>166.2</v>
      </c>
      <c r="M50" s="3">
        <v>168.4</v>
      </c>
      <c r="N50" s="3">
        <v>170.8</v>
      </c>
      <c r="O50" s="3">
        <v>173.3</v>
      </c>
      <c r="P50" s="3">
        <v>174.9</v>
      </c>
      <c r="Q50" s="3">
        <v>175</v>
      </c>
      <c r="R50" s="3">
        <v>176.3</v>
      </c>
      <c r="S50" s="3">
        <v>177.8</v>
      </c>
      <c r="T50" s="3">
        <v>179.6</v>
      </c>
      <c r="U50" s="3">
        <v>178.3</v>
      </c>
      <c r="V50" s="3">
        <v>175.9</v>
      </c>
      <c r="W50" s="3">
        <v>176.7</v>
      </c>
      <c r="X50" s="3">
        <v>177</v>
      </c>
      <c r="Y50" s="3">
        <v>177</v>
      </c>
    </row>
    <row r="51" spans="1:25" x14ac:dyDescent="0.3">
      <c r="A51" s="44" t="s">
        <v>160</v>
      </c>
      <c r="B51" s="3">
        <v>188.8</v>
      </c>
      <c r="C51" s="3">
        <v>191.9</v>
      </c>
      <c r="D51" s="3">
        <v>190.8</v>
      </c>
      <c r="E51" s="3">
        <v>191.2</v>
      </c>
      <c r="F51" s="3">
        <v>192.1</v>
      </c>
      <c r="G51" s="3">
        <v>192.1</v>
      </c>
      <c r="H51" s="3">
        <v>192.7</v>
      </c>
      <c r="I51" s="3">
        <v>192.9</v>
      </c>
      <c r="J51" s="3">
        <v>192.4</v>
      </c>
      <c r="K51" s="3">
        <v>192.2</v>
      </c>
      <c r="L51" s="3">
        <v>192.8</v>
      </c>
      <c r="M51" s="3">
        <v>193.7</v>
      </c>
      <c r="N51" s="3">
        <v>193.9</v>
      </c>
      <c r="O51" s="3">
        <v>194.1</v>
      </c>
      <c r="P51" s="3">
        <v>194.3</v>
      </c>
      <c r="Q51" s="3">
        <v>194.6</v>
      </c>
      <c r="R51" s="3">
        <v>195</v>
      </c>
      <c r="S51" s="3">
        <v>195.9</v>
      </c>
      <c r="T51" s="3">
        <v>196.3</v>
      </c>
      <c r="U51" s="3">
        <v>196.9</v>
      </c>
      <c r="V51" s="3">
        <v>197.3</v>
      </c>
      <c r="W51" s="3">
        <v>198.2</v>
      </c>
      <c r="X51" s="3">
        <v>199.5</v>
      </c>
      <c r="Y51" s="3">
        <v>199.5</v>
      </c>
    </row>
    <row r="52" spans="1:25" x14ac:dyDescent="0.3">
      <c r="A52" s="44" t="s">
        <v>161</v>
      </c>
      <c r="B52" s="3">
        <v>158.80000000000001</v>
      </c>
      <c r="C52" s="3">
        <v>161.80000000000001</v>
      </c>
      <c r="D52" s="3">
        <v>162.19999999999999</v>
      </c>
      <c r="E52" s="3">
        <v>162.80000000000001</v>
      </c>
      <c r="F52" s="3">
        <v>164.5</v>
      </c>
      <c r="G52" s="3">
        <v>164.6</v>
      </c>
      <c r="H52" s="3">
        <v>165.7</v>
      </c>
      <c r="I52" s="3">
        <v>167.2</v>
      </c>
      <c r="J52" s="3">
        <v>168.5</v>
      </c>
      <c r="K52" s="3">
        <v>169.9</v>
      </c>
      <c r="L52" s="3">
        <v>170.8</v>
      </c>
      <c r="M52" s="3">
        <v>172.1</v>
      </c>
      <c r="N52" s="3">
        <v>173.9</v>
      </c>
      <c r="O52" s="3">
        <v>175.6</v>
      </c>
      <c r="P52" s="3">
        <v>177.1</v>
      </c>
      <c r="Q52" s="3">
        <v>178.3</v>
      </c>
      <c r="R52" s="3">
        <v>179.5</v>
      </c>
      <c r="S52" s="3">
        <v>180.9</v>
      </c>
      <c r="T52" s="3">
        <v>181.9</v>
      </c>
      <c r="U52" s="3">
        <v>183.1</v>
      </c>
      <c r="V52" s="3">
        <v>184</v>
      </c>
      <c r="W52" s="3">
        <v>184.9</v>
      </c>
      <c r="X52" s="3">
        <v>186.2</v>
      </c>
      <c r="Y52" s="3">
        <v>186.1</v>
      </c>
    </row>
    <row r="53" spans="1:25" x14ac:dyDescent="0.3">
      <c r="A53" s="44" t="s">
        <v>162</v>
      </c>
      <c r="B53" s="3">
        <v>148.5</v>
      </c>
      <c r="C53" s="3">
        <v>152.1</v>
      </c>
      <c r="D53" s="3">
        <v>151.80000000000001</v>
      </c>
      <c r="E53" s="3">
        <v>153.1</v>
      </c>
      <c r="F53" s="3">
        <v>155.30000000000001</v>
      </c>
      <c r="G53" s="3">
        <v>155.30000000000001</v>
      </c>
      <c r="H53" s="3">
        <v>156.30000000000001</v>
      </c>
      <c r="I53" s="3">
        <v>157.4</v>
      </c>
      <c r="J53" s="3">
        <v>158.69999999999999</v>
      </c>
      <c r="K53" s="3">
        <v>160.69999999999999</v>
      </c>
      <c r="L53" s="3">
        <v>162.4</v>
      </c>
      <c r="M53" s="3">
        <v>164.6</v>
      </c>
      <c r="N53" s="3">
        <v>166.5</v>
      </c>
      <c r="O53" s="3">
        <v>168.4</v>
      </c>
      <c r="P53" s="3">
        <v>169.9</v>
      </c>
      <c r="Q53" s="3">
        <v>171.3</v>
      </c>
      <c r="R53" s="3">
        <v>172.7</v>
      </c>
      <c r="S53" s="3">
        <v>174.3</v>
      </c>
      <c r="T53" s="3">
        <v>175.3</v>
      </c>
      <c r="U53" s="3">
        <v>176.2</v>
      </c>
      <c r="V53" s="3">
        <v>177</v>
      </c>
      <c r="W53" s="3">
        <v>177.6</v>
      </c>
      <c r="X53" s="3">
        <v>178.7</v>
      </c>
      <c r="Y53" s="3">
        <v>178.7</v>
      </c>
    </row>
    <row r="54" spans="1:25" x14ac:dyDescent="0.3">
      <c r="A54" s="44" t="s">
        <v>163</v>
      </c>
      <c r="B54" s="3">
        <v>157.30000000000001</v>
      </c>
      <c r="C54" s="3">
        <v>160.4</v>
      </c>
      <c r="D54" s="3">
        <v>160.69999999999999</v>
      </c>
      <c r="E54" s="3">
        <v>161.4</v>
      </c>
      <c r="F54" s="3">
        <v>163.19999999999999</v>
      </c>
      <c r="G54" s="3">
        <v>163.30000000000001</v>
      </c>
      <c r="H54" s="3">
        <v>164.3</v>
      </c>
      <c r="I54" s="3">
        <v>165.8</v>
      </c>
      <c r="J54" s="3">
        <v>167</v>
      </c>
      <c r="K54" s="3">
        <v>168.5</v>
      </c>
      <c r="L54" s="3">
        <v>169.6</v>
      </c>
      <c r="M54" s="3">
        <v>171.1</v>
      </c>
      <c r="N54" s="3">
        <v>172.8</v>
      </c>
      <c r="O54" s="3">
        <v>174.6</v>
      </c>
      <c r="P54" s="3">
        <v>176</v>
      </c>
      <c r="Q54" s="3">
        <v>177.3</v>
      </c>
      <c r="R54" s="3">
        <v>178.5</v>
      </c>
      <c r="S54" s="3">
        <v>179.9</v>
      </c>
      <c r="T54" s="3">
        <v>181</v>
      </c>
      <c r="U54" s="3">
        <v>182.1</v>
      </c>
      <c r="V54" s="3">
        <v>183</v>
      </c>
      <c r="W54" s="3">
        <v>183.8</v>
      </c>
      <c r="X54" s="3">
        <v>185.1</v>
      </c>
      <c r="Y54" s="3">
        <v>185.1</v>
      </c>
    </row>
    <row r="55" spans="1:25" x14ac:dyDescent="0.3">
      <c r="A55" s="44" t="s">
        <v>164</v>
      </c>
      <c r="B55" s="3">
        <v>161.4</v>
      </c>
      <c r="C55" s="3">
        <v>161.6</v>
      </c>
      <c r="D55" s="3">
        <v>160.5</v>
      </c>
      <c r="E55" s="3">
        <v>161.5</v>
      </c>
      <c r="F55" s="3">
        <v>162.1</v>
      </c>
      <c r="G55" s="3">
        <v>162.1</v>
      </c>
      <c r="H55" s="3">
        <v>163.6</v>
      </c>
      <c r="I55" s="3">
        <v>164.2</v>
      </c>
      <c r="J55" s="3">
        <v>163.4</v>
      </c>
      <c r="K55" s="3">
        <v>164.5</v>
      </c>
      <c r="L55" s="3">
        <v>165.5</v>
      </c>
      <c r="M55" s="3">
        <v>165.3</v>
      </c>
      <c r="N55" s="3">
        <v>167</v>
      </c>
      <c r="O55" s="3">
        <v>167.5</v>
      </c>
      <c r="P55" s="3">
        <v>166.8</v>
      </c>
      <c r="Q55" s="3">
        <v>167.8</v>
      </c>
      <c r="R55" s="3">
        <v>169</v>
      </c>
      <c r="S55" s="3">
        <v>169.5</v>
      </c>
      <c r="T55" s="3">
        <v>171.2</v>
      </c>
      <c r="U55" s="3">
        <v>171.8</v>
      </c>
      <c r="V55" s="3">
        <v>170.7</v>
      </c>
      <c r="W55" s="3">
        <v>172.1</v>
      </c>
      <c r="X55" s="3">
        <v>173.5</v>
      </c>
      <c r="Y55" s="3">
        <v>173.5</v>
      </c>
    </row>
    <row r="56" spans="1:25" x14ac:dyDescent="0.3">
      <c r="A56" s="44" t="s">
        <v>165</v>
      </c>
      <c r="B56" s="3">
        <v>155.6</v>
      </c>
      <c r="C56" s="3">
        <v>159.4</v>
      </c>
      <c r="D56" s="3">
        <v>159.80000000000001</v>
      </c>
      <c r="E56" s="3">
        <v>160.69999999999999</v>
      </c>
      <c r="F56" s="3">
        <v>162.6</v>
      </c>
      <c r="G56" s="3">
        <v>162.6</v>
      </c>
      <c r="H56" s="3">
        <v>164.2</v>
      </c>
      <c r="I56" s="3">
        <v>163.9</v>
      </c>
      <c r="J56" s="3">
        <v>164.1</v>
      </c>
      <c r="K56" s="3">
        <v>164.2</v>
      </c>
      <c r="L56" s="3">
        <v>165.7</v>
      </c>
      <c r="M56" s="3">
        <v>167.2</v>
      </c>
      <c r="N56" s="3">
        <v>172.2</v>
      </c>
      <c r="O56" s="3">
        <v>174.6</v>
      </c>
      <c r="P56" s="3">
        <v>176</v>
      </c>
      <c r="Q56" s="3">
        <v>179.6</v>
      </c>
      <c r="R56" s="3">
        <v>178.8</v>
      </c>
      <c r="S56" s="3">
        <v>179.5</v>
      </c>
      <c r="T56" s="3">
        <v>180.5</v>
      </c>
      <c r="U56" s="3">
        <v>181.3</v>
      </c>
      <c r="V56" s="3">
        <v>182</v>
      </c>
      <c r="W56" s="3">
        <v>182</v>
      </c>
      <c r="X56" s="3">
        <v>182.1</v>
      </c>
      <c r="Y56" s="3">
        <v>181.9</v>
      </c>
    </row>
    <row r="57" spans="1:25" x14ac:dyDescent="0.3">
      <c r="A57" s="44" t="s">
        <v>166</v>
      </c>
      <c r="B57" s="3">
        <v>468.8</v>
      </c>
      <c r="C57" s="3">
        <v>475.7</v>
      </c>
      <c r="D57" s="3">
        <v>475.1</v>
      </c>
      <c r="E57" s="3">
        <v>478</v>
      </c>
      <c r="F57" s="3">
        <v>482.2</v>
      </c>
      <c r="G57" s="3">
        <v>482.2</v>
      </c>
      <c r="H57" s="3">
        <v>486.19999999999993</v>
      </c>
      <c r="I57" s="3">
        <v>487.40000000000003</v>
      </c>
      <c r="J57" s="3">
        <v>487.7</v>
      </c>
      <c r="K57" s="3">
        <v>489.79999999999995</v>
      </c>
      <c r="L57" s="3">
        <v>493</v>
      </c>
      <c r="M57" s="3">
        <v>495.3</v>
      </c>
      <c r="N57" s="3">
        <v>503.2</v>
      </c>
      <c r="O57" s="3">
        <v>507.3</v>
      </c>
      <c r="P57" s="3">
        <v>509.20000000000005</v>
      </c>
      <c r="Q57" s="3">
        <v>514.79999999999995</v>
      </c>
      <c r="R57" s="3">
        <v>516.29999999999995</v>
      </c>
      <c r="S57" s="3">
        <v>518.5</v>
      </c>
      <c r="T57" s="3">
        <v>522.1</v>
      </c>
      <c r="U57" s="3">
        <v>524.5</v>
      </c>
      <c r="V57" s="3">
        <v>524.79999999999995</v>
      </c>
      <c r="W57" s="3">
        <v>527</v>
      </c>
      <c r="X57" s="3">
        <v>529.79999999999995</v>
      </c>
      <c r="Y57" s="3">
        <v>529.59999999999991</v>
      </c>
    </row>
    <row r="58" spans="1:25" x14ac:dyDescent="0.3">
      <c r="A58" s="44" t="s">
        <v>167</v>
      </c>
      <c r="B58" s="3">
        <v>162.30000000000001</v>
      </c>
      <c r="C58" s="3">
        <v>165.8</v>
      </c>
      <c r="D58" s="3">
        <v>166.3</v>
      </c>
      <c r="E58" s="3">
        <v>167</v>
      </c>
      <c r="F58" s="3">
        <v>168.4</v>
      </c>
      <c r="G58" s="3">
        <v>168.4</v>
      </c>
      <c r="H58" s="3">
        <v>169.1</v>
      </c>
      <c r="I58" s="3">
        <v>169.9</v>
      </c>
      <c r="J58" s="3">
        <v>170.6</v>
      </c>
      <c r="K58" s="3">
        <v>171.4</v>
      </c>
      <c r="L58" s="3">
        <v>172.2</v>
      </c>
      <c r="M58" s="3">
        <v>173</v>
      </c>
      <c r="N58" s="3">
        <v>174</v>
      </c>
      <c r="O58" s="3">
        <v>174.8</v>
      </c>
      <c r="P58" s="3">
        <v>175.4</v>
      </c>
      <c r="Q58" s="3">
        <v>176.1</v>
      </c>
      <c r="R58" s="3">
        <v>176.8</v>
      </c>
      <c r="S58" s="3">
        <v>177.8</v>
      </c>
      <c r="T58" s="3">
        <v>178.7</v>
      </c>
      <c r="U58" s="3">
        <v>179.8</v>
      </c>
      <c r="V58" s="3">
        <v>181.1</v>
      </c>
      <c r="W58" s="3">
        <v>182.3</v>
      </c>
      <c r="X58" s="3">
        <v>184.4</v>
      </c>
      <c r="Y58" s="3">
        <v>184.4</v>
      </c>
    </row>
    <row r="59" spans="1:25" x14ac:dyDescent="0.3">
      <c r="A59" s="44" t="s">
        <v>168</v>
      </c>
      <c r="B59" s="3">
        <v>146.6</v>
      </c>
      <c r="C59" s="3">
        <v>148.9</v>
      </c>
      <c r="D59" s="3">
        <v>150.69999999999999</v>
      </c>
      <c r="E59" s="3">
        <v>153.1</v>
      </c>
      <c r="F59" s="3">
        <v>154</v>
      </c>
      <c r="G59" s="3">
        <v>154</v>
      </c>
      <c r="H59" s="3">
        <v>155.69999999999999</v>
      </c>
      <c r="I59" s="3">
        <v>154.80000000000001</v>
      </c>
      <c r="J59" s="3">
        <v>155.69999999999999</v>
      </c>
      <c r="K59" s="3">
        <v>156.5</v>
      </c>
      <c r="L59" s="3">
        <v>156.9</v>
      </c>
      <c r="M59" s="3">
        <v>157.9</v>
      </c>
      <c r="N59" s="3">
        <v>162.6</v>
      </c>
      <c r="O59" s="3">
        <v>163</v>
      </c>
      <c r="P59" s="3">
        <v>161.1</v>
      </c>
      <c r="Q59" s="3">
        <v>161.6</v>
      </c>
      <c r="R59" s="3">
        <v>161.9</v>
      </c>
      <c r="S59" s="3">
        <v>162.30000000000001</v>
      </c>
      <c r="T59" s="3">
        <v>162.9</v>
      </c>
      <c r="U59" s="3">
        <v>163</v>
      </c>
      <c r="V59" s="3">
        <v>163.4</v>
      </c>
      <c r="W59" s="3">
        <v>163.6</v>
      </c>
      <c r="X59" s="3">
        <v>164.2</v>
      </c>
      <c r="Y59" s="3">
        <v>164.2</v>
      </c>
    </row>
    <row r="60" spans="1:25" x14ac:dyDescent="0.3">
      <c r="A60" s="44" t="s">
        <v>169</v>
      </c>
      <c r="B60" s="3">
        <v>153.19999999999999</v>
      </c>
      <c r="C60" s="3">
        <v>155.80000000000001</v>
      </c>
      <c r="D60" s="3">
        <v>154.9</v>
      </c>
      <c r="E60" s="3">
        <v>155.30000000000001</v>
      </c>
      <c r="F60" s="3">
        <v>157.6</v>
      </c>
      <c r="G60" s="3">
        <v>157.69999999999999</v>
      </c>
      <c r="H60" s="3">
        <v>158.6</v>
      </c>
      <c r="I60" s="3">
        <v>159.80000000000001</v>
      </c>
      <c r="J60" s="3">
        <v>160.6</v>
      </c>
      <c r="K60" s="3">
        <v>161.19999999999999</v>
      </c>
      <c r="L60" s="3">
        <v>162.1</v>
      </c>
      <c r="M60" s="3">
        <v>163.30000000000001</v>
      </c>
      <c r="N60" s="3">
        <v>164.4</v>
      </c>
      <c r="O60" s="3">
        <v>165.1</v>
      </c>
      <c r="P60" s="3">
        <v>165.8</v>
      </c>
      <c r="Q60" s="3">
        <v>166.3</v>
      </c>
      <c r="R60" s="3">
        <v>166.9</v>
      </c>
      <c r="S60" s="3">
        <v>167.6</v>
      </c>
      <c r="T60" s="3">
        <v>168.2</v>
      </c>
      <c r="U60" s="3">
        <v>168.5</v>
      </c>
      <c r="V60" s="3">
        <v>168.9</v>
      </c>
      <c r="W60" s="3">
        <v>169.5</v>
      </c>
      <c r="X60" s="3">
        <v>170.3</v>
      </c>
      <c r="Y60" s="3">
        <v>170.3</v>
      </c>
    </row>
    <row r="61" spans="1:25" x14ac:dyDescent="0.3">
      <c r="A61" s="44" t="s">
        <v>170</v>
      </c>
      <c r="B61" s="3">
        <v>160.30000000000001</v>
      </c>
      <c r="C61" s="3">
        <v>161.19999999999999</v>
      </c>
      <c r="D61" s="3">
        <v>161.69999999999999</v>
      </c>
      <c r="E61" s="3">
        <v>163.19999999999999</v>
      </c>
      <c r="F61" s="3">
        <v>163.80000000000001</v>
      </c>
      <c r="G61" s="3">
        <v>163.69999999999999</v>
      </c>
      <c r="H61" s="3">
        <v>163.9</v>
      </c>
      <c r="I61" s="3">
        <v>164.3</v>
      </c>
      <c r="J61" s="3">
        <v>164.4</v>
      </c>
      <c r="K61" s="3">
        <v>164.7</v>
      </c>
      <c r="L61" s="3">
        <v>165.4</v>
      </c>
      <c r="M61" s="3">
        <v>166</v>
      </c>
      <c r="N61" s="3">
        <v>166.9</v>
      </c>
      <c r="O61" s="3">
        <v>167.9</v>
      </c>
      <c r="P61" s="3">
        <v>169</v>
      </c>
      <c r="Q61" s="3">
        <v>171.4</v>
      </c>
      <c r="R61" s="3">
        <v>172.3</v>
      </c>
      <c r="S61" s="3">
        <v>173.1</v>
      </c>
      <c r="T61" s="3">
        <v>173.4</v>
      </c>
      <c r="U61" s="3">
        <v>173.7</v>
      </c>
      <c r="V61" s="3">
        <v>174.1</v>
      </c>
      <c r="W61" s="3">
        <v>174.3</v>
      </c>
      <c r="X61" s="3">
        <v>175</v>
      </c>
      <c r="Y61" s="3">
        <v>175</v>
      </c>
    </row>
    <row r="62" spans="1:25" x14ac:dyDescent="0.3">
      <c r="A62" s="44" t="s">
        <v>171</v>
      </c>
      <c r="B62" s="3">
        <v>155.4</v>
      </c>
      <c r="C62" s="3">
        <v>158.6</v>
      </c>
      <c r="D62" s="3">
        <v>158.80000000000001</v>
      </c>
      <c r="E62" s="3">
        <v>160.1</v>
      </c>
      <c r="F62" s="3">
        <v>160</v>
      </c>
      <c r="G62" s="3">
        <v>160</v>
      </c>
      <c r="H62" s="3">
        <v>160.80000000000001</v>
      </c>
      <c r="I62" s="3">
        <v>162.19999999999999</v>
      </c>
      <c r="J62" s="3">
        <v>162.6</v>
      </c>
      <c r="K62" s="3">
        <v>163</v>
      </c>
      <c r="L62" s="3">
        <v>164.4</v>
      </c>
      <c r="M62" s="3">
        <v>167.2</v>
      </c>
      <c r="N62" s="3">
        <v>168.8</v>
      </c>
      <c r="O62" s="3">
        <v>168.4</v>
      </c>
      <c r="P62" s="3">
        <v>169.4</v>
      </c>
      <c r="Q62" s="3">
        <v>169.7</v>
      </c>
      <c r="R62" s="3">
        <v>171.2</v>
      </c>
      <c r="S62" s="3">
        <v>170.9</v>
      </c>
      <c r="T62" s="3">
        <v>172.1</v>
      </c>
      <c r="U62" s="3">
        <v>173.6</v>
      </c>
      <c r="V62" s="3">
        <v>175.8</v>
      </c>
      <c r="W62" s="3">
        <v>178.6</v>
      </c>
      <c r="X62" s="3">
        <v>181</v>
      </c>
      <c r="Y62" s="3">
        <v>181</v>
      </c>
    </row>
    <row r="63" spans="1:25" x14ac:dyDescent="0.3">
      <c r="A63" s="44" t="s">
        <v>172</v>
      </c>
      <c r="B63" s="3">
        <v>154.4</v>
      </c>
      <c r="C63" s="3">
        <v>156.80000000000001</v>
      </c>
      <c r="D63" s="3">
        <v>157.6</v>
      </c>
      <c r="E63" s="3">
        <v>159</v>
      </c>
      <c r="F63" s="3">
        <v>160</v>
      </c>
      <c r="G63" s="3">
        <v>160</v>
      </c>
      <c r="H63" s="3">
        <v>161</v>
      </c>
      <c r="I63" s="3">
        <v>161.4</v>
      </c>
      <c r="J63" s="3">
        <v>162</v>
      </c>
      <c r="K63" s="3">
        <v>162.69999999999999</v>
      </c>
      <c r="L63" s="3">
        <v>163.5</v>
      </c>
      <c r="M63" s="3">
        <v>164.6</v>
      </c>
      <c r="N63" s="3">
        <v>166.8</v>
      </c>
      <c r="O63" s="3">
        <v>167.5</v>
      </c>
      <c r="P63" s="3">
        <v>167.5</v>
      </c>
      <c r="Q63" s="3">
        <v>168.4</v>
      </c>
      <c r="R63" s="3">
        <v>169.1</v>
      </c>
      <c r="S63" s="3">
        <v>169.7</v>
      </c>
      <c r="T63" s="3">
        <v>170.5</v>
      </c>
      <c r="U63" s="3">
        <v>171.1</v>
      </c>
      <c r="V63" s="3">
        <v>172</v>
      </c>
      <c r="W63" s="3">
        <v>172.8</v>
      </c>
      <c r="X63" s="3">
        <v>174.1</v>
      </c>
      <c r="Y63" s="3">
        <v>174.1</v>
      </c>
    </row>
    <row r="64" spans="1:25" x14ac:dyDescent="0.3">
      <c r="A64" s="44" t="s">
        <v>173</v>
      </c>
      <c r="B64" s="3">
        <v>157.80000000000001</v>
      </c>
      <c r="C64" s="3">
        <v>160.4</v>
      </c>
      <c r="D64" s="3">
        <v>161.30000000000001</v>
      </c>
      <c r="E64" s="3">
        <v>162.5</v>
      </c>
      <c r="F64" s="3">
        <v>163.19999999999999</v>
      </c>
      <c r="G64" s="3">
        <v>163.19999999999999</v>
      </c>
      <c r="H64" s="3">
        <v>165.5</v>
      </c>
      <c r="I64" s="3">
        <v>166.7</v>
      </c>
      <c r="J64" s="3">
        <v>166.2</v>
      </c>
      <c r="K64" s="3">
        <v>165.7</v>
      </c>
      <c r="L64" s="3">
        <v>166.1</v>
      </c>
      <c r="M64" s="3">
        <v>167.7</v>
      </c>
      <c r="N64" s="3">
        <v>170.1</v>
      </c>
      <c r="O64" s="3">
        <v>171.7</v>
      </c>
      <c r="P64" s="3">
        <v>172.6</v>
      </c>
      <c r="Q64" s="3">
        <v>173.4</v>
      </c>
      <c r="R64" s="3">
        <v>174.3</v>
      </c>
      <c r="S64" s="3">
        <v>175.3</v>
      </c>
      <c r="T64" s="3">
        <v>176.7</v>
      </c>
      <c r="U64" s="3">
        <v>176.5</v>
      </c>
      <c r="V64" s="3">
        <v>175.7</v>
      </c>
      <c r="W64" s="3">
        <v>176.5</v>
      </c>
      <c r="X64" s="3">
        <v>177.2</v>
      </c>
      <c r="Y64" s="3">
        <v>177.2</v>
      </c>
    </row>
  </sheetData>
  <autoFilter ref="M2:N2" xr:uid="{E7F5C422-EDDB-4320-BE3C-2F73F3819782}">
    <sortState xmlns:xlrd2="http://schemas.microsoft.com/office/spreadsheetml/2017/richdata2" ref="M3:N29">
      <sortCondition descending="1" ref="N2"/>
    </sortState>
  </autoFilter>
  <mergeCells count="1">
    <mergeCell ref="M1:N1"/>
  </mergeCells>
  <conditionalFormatting sqref="N3:N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Cleaned Data</vt:lpstr>
      <vt:lpstr>Problem-1</vt:lpstr>
      <vt:lpstr>Problem-2</vt:lpstr>
      <vt:lpstr>Problem-3</vt:lpstr>
      <vt:lpstr>Problem-4</vt:lpstr>
      <vt:lpstr>Problem-5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FAIZAAN</dc:creator>
  <cp:lastModifiedBy>Faizaan Ahmed</cp:lastModifiedBy>
  <dcterms:created xsi:type="dcterms:W3CDTF">2025-11-09T10:37:46Z</dcterms:created>
  <dcterms:modified xsi:type="dcterms:W3CDTF">2026-05-09T08:38:15Z</dcterms:modified>
</cp:coreProperties>
</file>